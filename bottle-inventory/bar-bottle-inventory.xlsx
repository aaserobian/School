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irits Menu" sheetId="1" state="visible" r:id="rId3"/>
    <sheet name="Inventory" sheetId="2" state="visible" r:id="rId4"/>
    <sheet name="Summary" sheetId="3" state="visible" r:id="rId5"/>
    <sheet name="Unidentified" sheetId="4" state="visible" r:id="rId6"/>
  </sheets>
  <definedNames>
    <definedName function="false" hidden="false" localSheetId="1" name="_xlnm.Print_Titles" vbProcedure="false">Inventory!$4:$4</definedName>
    <definedName function="false" hidden="true" localSheetId="1" name="_xlnm._FilterDatabase" vbProcedure="false">Inventory!$A$4:$J$116</definedName>
    <definedName function="false" hidden="false" localSheetId="0" name="_xlnm.Print_Titles" vbProcedure="false">'Spirits Menu'!$4:$4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<sst xmlns="http://schemas.openxmlformats.org/spreadsheetml/2006/main" count="1043" uniqueCount="429">
  <si>
    <t xml:space="preserve">Spirits</t>
  </si>
  <si>
    <t xml:space="preserve">Every spirit on the back bar, grouped by type. Yellow price cells are waiting for SpotOn prices.</t>
  </si>
  <si>
    <t xml:space="preserve">Spirit</t>
  </si>
  <si>
    <t xml:space="preserve">Price</t>
  </si>
  <si>
    <t xml:space="preserve">VODKA</t>
  </si>
  <si>
    <t xml:space="preserve">Belvedere Organic</t>
  </si>
  <si>
    <t xml:space="preserve">Grey Goose</t>
  </si>
  <si>
    <t xml:space="preserve">Ketel One</t>
  </si>
  <si>
    <t xml:space="preserve">Tito's</t>
  </si>
  <si>
    <t xml:space="preserve">GIN</t>
  </si>
  <si>
    <t xml:space="preserve">Bombay Sapphire</t>
  </si>
  <si>
    <t xml:space="preserve">The Botanist</t>
  </si>
  <si>
    <t xml:space="preserve">Empress 1908 Cucumber Lemon</t>
  </si>
  <si>
    <t xml:space="preserve">Hendrick's</t>
  </si>
  <si>
    <t xml:space="preserve">Roku</t>
  </si>
  <si>
    <t xml:space="preserve">Sipsmith London Dry</t>
  </si>
  <si>
    <t xml:space="preserve">Tanqueray</t>
  </si>
  <si>
    <t xml:space="preserve">RUM</t>
  </si>
  <si>
    <t xml:space="preserve">Gosling's Black Seal</t>
  </si>
  <si>
    <t xml:space="preserve">TEQUILA</t>
  </si>
  <si>
    <t xml:space="preserve">Blanco</t>
  </si>
  <si>
    <t xml:space="preserve">Casamigos Blanco</t>
  </si>
  <si>
    <t xml:space="preserve">Clase Azul Plata</t>
  </si>
  <si>
    <t xml:space="preserve">Don Fulano Blanco</t>
  </si>
  <si>
    <t xml:space="preserve">Don Julio Blanco</t>
  </si>
  <si>
    <t xml:space="preserve">Dulce Vida Blanco (100 proof)</t>
  </si>
  <si>
    <t xml:space="preserve">El Tequileño Platinum</t>
  </si>
  <si>
    <t xml:space="preserve">El Tesoro Blanco</t>
  </si>
  <si>
    <t xml:space="preserve">Espolòn Blanco</t>
  </si>
  <si>
    <t xml:space="preserve">Fortaleza Blanco</t>
  </si>
  <si>
    <t xml:space="preserve">Fortaleza Blanco Still Strength</t>
  </si>
  <si>
    <t xml:space="preserve">Gran Patrón Platinum</t>
  </si>
  <si>
    <t xml:space="preserve">Irlandés Blanco</t>
  </si>
  <si>
    <t xml:space="preserve">Lunazul Blanco</t>
  </si>
  <si>
    <t xml:space="preserve">Mijenta Blanco</t>
  </si>
  <si>
    <t xml:space="preserve">Patrón Silver</t>
  </si>
  <si>
    <t xml:space="preserve">Siete Leguas Blanco</t>
  </si>
  <si>
    <t xml:space="preserve">Tequila Ocho Plata</t>
  </si>
  <si>
    <t xml:space="preserve">Joven</t>
  </si>
  <si>
    <t xml:space="preserve">Clase Azul Gold</t>
  </si>
  <si>
    <t xml:space="preserve">Reposado</t>
  </si>
  <si>
    <t xml:space="preserve">Casamigos Reposado</t>
  </si>
  <si>
    <t xml:space="preserve">Clase Azul Reposado</t>
  </si>
  <si>
    <t xml:space="preserve">Don Julio Reposado</t>
  </si>
  <si>
    <t xml:space="preserve">Dulce Vida Reposado</t>
  </si>
  <si>
    <t xml:space="preserve">El Tequileño Reposado</t>
  </si>
  <si>
    <t xml:space="preserve">El Tesoro Reposado</t>
  </si>
  <si>
    <t xml:space="preserve">Irlandés Reposado</t>
  </si>
  <si>
    <t xml:space="preserve">Lunazul Reposado</t>
  </si>
  <si>
    <t xml:space="preserve">Mijenta Reposado</t>
  </si>
  <si>
    <t xml:space="preserve">Patrón Reposado</t>
  </si>
  <si>
    <t xml:space="preserve">Tequila Ocho Reposado</t>
  </si>
  <si>
    <t xml:space="preserve">Añejo</t>
  </si>
  <si>
    <t xml:space="preserve">Cazcanes No. 7 Añejo</t>
  </si>
  <si>
    <t xml:space="preserve">Don Fulano Añejo</t>
  </si>
  <si>
    <t xml:space="preserve">Don Julio 1942</t>
  </si>
  <si>
    <t xml:space="preserve">Don Julio Añejo</t>
  </si>
  <si>
    <t xml:space="preserve">El Tequileño Añejo Gran Reserva</t>
  </si>
  <si>
    <t xml:space="preserve">El Tesoro Añejo</t>
  </si>
  <si>
    <t xml:space="preserve">Mijenta Añejo Gran Reserva</t>
  </si>
  <si>
    <t xml:space="preserve">Tequila Ocho Añejo</t>
  </si>
  <si>
    <t xml:space="preserve">Extra Añejo</t>
  </si>
  <si>
    <t xml:space="preserve">Dulce Vida Extra Añejo 5 Year</t>
  </si>
  <si>
    <t xml:space="preserve">Partida Elegante</t>
  </si>
  <si>
    <t xml:space="preserve">Siete Leguas D'Antaño</t>
  </si>
  <si>
    <t xml:space="preserve">Other</t>
  </si>
  <si>
    <t xml:space="preserve">Patrón El Alto</t>
  </si>
  <si>
    <t xml:space="preserve">Sativo</t>
  </si>
  <si>
    <t xml:space="preserve">MEZCAL</t>
  </si>
  <si>
    <t xml:space="preserve">400 Conejos Joven</t>
  </si>
  <si>
    <t xml:space="preserve">Casamigos Mezcal</t>
  </si>
  <si>
    <t xml:space="preserve">Clase Azul Mezcal Guerrero</t>
  </si>
  <si>
    <t xml:space="preserve">Del Maguey Vida</t>
  </si>
  <si>
    <t xml:space="preserve">Dos Hombres Joven</t>
  </si>
  <si>
    <t xml:space="preserve">Dos Hombres Tobalá</t>
  </si>
  <si>
    <t xml:space="preserve">El Silencio Espadín</t>
  </si>
  <si>
    <t xml:space="preserve">Ilegal Joven</t>
  </si>
  <si>
    <t xml:space="preserve">Rosaluna</t>
  </si>
  <si>
    <t xml:space="preserve">BOURBON</t>
  </si>
  <si>
    <t xml:space="preserve">Angel's Envy Triple Oak</t>
  </si>
  <si>
    <t xml:space="preserve">Basil Hayden 10 Year</t>
  </si>
  <si>
    <t xml:space="preserve">Basil Hayden Toast</t>
  </si>
  <si>
    <t xml:space="preserve">Buffalo Trace</t>
  </si>
  <si>
    <t xml:space="preserve">Bulleit Bourbon</t>
  </si>
  <si>
    <t xml:space="preserve">Eagle Rare 10 Year</t>
  </si>
  <si>
    <t xml:space="preserve">Four Roses Single Barrel</t>
  </si>
  <si>
    <t xml:space="preserve">Four Roses Small Batch</t>
  </si>
  <si>
    <t xml:space="preserve">High West American Prairie</t>
  </si>
  <si>
    <t xml:space="preserve">Howler Head Banana</t>
  </si>
  <si>
    <t xml:space="preserve">Kentucky Owl Confiscated</t>
  </si>
  <si>
    <t xml:space="preserve">Maker's Mark</t>
  </si>
  <si>
    <t xml:space="preserve">Rabbit Hole Cavehill</t>
  </si>
  <si>
    <t xml:space="preserve">Weller 12 Year</t>
  </si>
  <si>
    <t xml:space="preserve">Weller Special Reserve</t>
  </si>
  <si>
    <t xml:space="preserve">WhistlePig PiggyBack 6 Year</t>
  </si>
  <si>
    <t xml:space="preserve">Widow Jane 10 Year</t>
  </si>
  <si>
    <t xml:space="preserve">Wild Turkey</t>
  </si>
  <si>
    <t xml:space="preserve">RYE WHISKEY</t>
  </si>
  <si>
    <t xml:space="preserve">Angel's Envy Finished Rye</t>
  </si>
  <si>
    <t xml:space="preserve">Basil Hayden Dark Rye</t>
  </si>
  <si>
    <t xml:space="preserve">Bulleit 95 Rye</t>
  </si>
  <si>
    <t xml:space="preserve">Doc Swinson's Bottled in Bond Rye</t>
  </si>
  <si>
    <t xml:space="preserve">AMERICAN WHISKEY</t>
  </si>
  <si>
    <t xml:space="preserve">High West Campfire</t>
  </si>
  <si>
    <t xml:space="preserve">Traveller Blend No. 40</t>
  </si>
  <si>
    <t xml:space="preserve">IRISH WHISKEY</t>
  </si>
  <si>
    <t xml:space="preserve">Jameson</t>
  </si>
  <si>
    <t xml:space="preserve">Teeling Small Batch</t>
  </si>
  <si>
    <t xml:space="preserve">SCOTCH WHISKY</t>
  </si>
  <si>
    <t xml:space="preserve">Speyside</t>
  </si>
  <si>
    <t xml:space="preserve">The Balvenie Caribbean Cask 14 Year</t>
  </si>
  <si>
    <t xml:space="preserve">The Balvenie DoubleWood 12 Year</t>
  </si>
  <si>
    <t xml:space="preserve">Glenfiddich 12 Year</t>
  </si>
  <si>
    <t xml:space="preserve">The Glenlivet 12 Year</t>
  </si>
  <si>
    <t xml:space="preserve">The Macallan 12 Year Sherry Oak</t>
  </si>
  <si>
    <t xml:space="preserve">The Macallan 18 Year Sherry Oak</t>
  </si>
  <si>
    <t xml:space="preserve">Highland</t>
  </si>
  <si>
    <t xml:space="preserve">Glenmorangie The Original 10 Year</t>
  </si>
  <si>
    <t xml:space="preserve">Oban 14 Year</t>
  </si>
  <si>
    <t xml:space="preserve">Islands</t>
  </si>
  <si>
    <t xml:space="preserve">Highland Park 12 Year Viking Honour</t>
  </si>
  <si>
    <t xml:space="preserve">Islay</t>
  </si>
  <si>
    <t xml:space="preserve">Lagavulin 16 Year</t>
  </si>
  <si>
    <t xml:space="preserve">Laphroaig 10 Year</t>
  </si>
  <si>
    <t xml:space="preserve">Lowland</t>
  </si>
  <si>
    <t xml:space="preserve">Auchentoshan</t>
  </si>
  <si>
    <t xml:space="preserve">Blended</t>
  </si>
  <si>
    <t xml:space="preserve">Johnnie Walker Black Label</t>
  </si>
  <si>
    <t xml:space="preserve">JAPANESE WHISKY</t>
  </si>
  <si>
    <t xml:space="preserve">Hakushu 12 Year</t>
  </si>
  <si>
    <t xml:space="preserve">Hatozaki Finest</t>
  </si>
  <si>
    <t xml:space="preserve">Hatozaki Small Batch</t>
  </si>
  <si>
    <t xml:space="preserve">Hibiki Japanese Harmony</t>
  </si>
  <si>
    <t xml:space="preserve">Nikka Coffey Grain</t>
  </si>
  <si>
    <t xml:space="preserve">Toki</t>
  </si>
  <si>
    <t xml:space="preserve">AMARO &amp; LIQUEUR</t>
  </si>
  <si>
    <t xml:space="preserve">Amaro Montenegro</t>
  </si>
  <si>
    <t xml:space="preserve">Fernet-Branca</t>
  </si>
  <si>
    <t xml:space="preserve">St. George Bruto Americano</t>
  </si>
  <si>
    <t xml:space="preserve">Back-Bar Bottle Inventory</t>
  </si>
  <si>
    <t xml:space="preserve">#</t>
  </si>
  <si>
    <t xml:space="preserve">Category</t>
  </si>
  <si>
    <t xml:space="preserve">Style</t>
  </si>
  <si>
    <t xml:space="preserve">Brand</t>
  </si>
  <si>
    <t xml:space="preserve">Expression</t>
  </si>
  <si>
    <t xml:space="preserve">Origin</t>
  </si>
  <si>
    <t xml:space="preserve">Qty</t>
  </si>
  <si>
    <t xml:space="preserve">Where in the photos</t>
  </si>
  <si>
    <t xml:space="preserve">ID confidence</t>
  </si>
  <si>
    <t xml:space="preserve">Notes</t>
  </si>
  <si>
    <t xml:space="preserve">Vodka</t>
  </si>
  <si>
    <t xml:space="preserve">Belvedere</t>
  </si>
  <si>
    <t xml:space="preserve">Organic</t>
  </si>
  <si>
    <t xml:space="preserve">Poland</t>
  </si>
  <si>
    <t xml:space="preserve">Photo 4 · bottom shelf</t>
  </si>
  <si>
    <t xml:space="preserve">Medium</t>
  </si>
  <si>
    <t xml:space="preserve">Frosted bottle with a white tree; label partly hidden (reads '…EDERE ORGANIC VODKA').</t>
  </si>
  <si>
    <t xml:space="preserve">France</t>
  </si>
  <si>
    <t xml:space="preserve">High</t>
  </si>
  <si>
    <t xml:space="preserve">Netherlands</t>
  </si>
  <si>
    <t xml:space="preserve">Handmade Vodka</t>
  </si>
  <si>
    <t xml:space="preserve">USA</t>
  </si>
  <si>
    <t xml:space="preserve">Low</t>
  </si>
  <si>
    <t xml:space="preserve">Label faces sideways; only '…'s' and '…de' are visible. Worth checking.</t>
  </si>
  <si>
    <t xml:space="preserve">Gin</t>
  </si>
  <si>
    <t xml:space="preserve">London dry</t>
  </si>
  <si>
    <t xml:space="preserve">London Dry Gin</t>
  </si>
  <si>
    <t xml:space="preserve">England</t>
  </si>
  <si>
    <t xml:space="preserve">Photo 1 · bottom shelf, back left</t>
  </si>
  <si>
    <t xml:space="preserve">Partly hidden; blue bottle with 'BOMBAY' label.</t>
  </si>
  <si>
    <t xml:space="preserve">Dry gin</t>
  </si>
  <si>
    <t xml:space="preserve">Islay Dry Gin 22</t>
  </si>
  <si>
    <t xml:space="preserve">Scotland</t>
  </si>
  <si>
    <t xml:space="preserve">Flavored gin</t>
  </si>
  <si>
    <t xml:space="preserve">Empress 1908</t>
  </si>
  <si>
    <t xml:space="preserve">Cucumber Lemon Gin</t>
  </si>
  <si>
    <t xml:space="preserve">Canada</t>
  </si>
  <si>
    <t xml:space="preserve">Distilled gin</t>
  </si>
  <si>
    <t xml:space="preserve">Photo 4 · bottom shelf (also Photo 1)</t>
  </si>
  <si>
    <t xml:space="preserve">Japanese gin</t>
  </si>
  <si>
    <t xml:space="preserve">Japanese Craft Gin</t>
  </si>
  <si>
    <t xml:space="preserve">Japan</t>
  </si>
  <si>
    <t xml:space="preserve">Made by Suntory.</t>
  </si>
  <si>
    <t xml:space="preserve">Sipsmith</t>
  </si>
  <si>
    <t xml:space="preserve">Rum</t>
  </si>
  <si>
    <t xml:space="preserve">Black rum</t>
  </si>
  <si>
    <t xml:space="preserve">Gosling's</t>
  </si>
  <si>
    <t xml:space="preserve">Black Seal</t>
  </si>
  <si>
    <t xml:space="preserve">Bermuda</t>
  </si>
  <si>
    <t xml:space="preserve">Photo 2 · bottom shelf, left bay</t>
  </si>
  <si>
    <t xml:space="preserve">Tequila</t>
  </si>
  <si>
    <t xml:space="preserve">Casamigos</t>
  </si>
  <si>
    <t xml:space="preserve">Mexico</t>
  </si>
  <si>
    <t xml:space="preserve">Photo 2 · bottom shelf</t>
  </si>
  <si>
    <t xml:space="preserve">Clase Azul</t>
  </si>
  <si>
    <t xml:space="preserve">Plata</t>
  </si>
  <si>
    <t xml:space="preserve">Photo 3 · top shelf</t>
  </si>
  <si>
    <t xml:space="preserve">Clear glass decanter with a flower emblem; named from the decanter design (no label text visible).</t>
  </si>
  <si>
    <t xml:space="preserve">Don Fulano</t>
  </si>
  <si>
    <t xml:space="preserve">Photo 2 · middle shelf</t>
  </si>
  <si>
    <t xml:space="preserve">Don Julio</t>
  </si>
  <si>
    <t xml:space="preserve">Dulce Vida</t>
  </si>
  <si>
    <t xml:space="preserve">Organic Blanco (100 proof)</t>
  </si>
  <si>
    <t xml:space="preserve">Photo 2 · top shelf</t>
  </si>
  <si>
    <t xml:space="preserve">El Tequileño</t>
  </si>
  <si>
    <t xml:space="preserve">Platinum</t>
  </si>
  <si>
    <t xml:space="preserve">El Tesoro</t>
  </si>
  <si>
    <t xml:space="preserve">Espolòn</t>
  </si>
  <si>
    <t xml:space="preserve">Expression judged from the label design.</t>
  </si>
  <si>
    <t xml:space="preserve">Fortaleza</t>
  </si>
  <si>
    <t xml:space="preserve">Blanco Still Strength</t>
  </si>
  <si>
    <t xml:space="preserve">Gran Patrón</t>
  </si>
  <si>
    <t xml:space="preserve">Tall crystal decanter etched 'PATRÓN'; expression not readable, Platinum is a best guess.</t>
  </si>
  <si>
    <t xml:space="preserve">Irlandés</t>
  </si>
  <si>
    <t xml:space="preserve">Shamrock label.</t>
  </si>
  <si>
    <t xml:space="preserve">Lunazul</t>
  </si>
  <si>
    <t xml:space="preserve">Mijenta</t>
  </si>
  <si>
    <t xml:space="preserve">Patrón</t>
  </si>
  <si>
    <t xml:space="preserve">Silver</t>
  </si>
  <si>
    <t xml:space="preserve">Siete Leguas</t>
  </si>
  <si>
    <t xml:space="preserve">Tequila Ocho</t>
  </si>
  <si>
    <t xml:space="preserve">Gold</t>
  </si>
  <si>
    <t xml:space="preserve">Photo 3 · top shelf (also Photo 1)</t>
  </si>
  <si>
    <t xml:space="preserve">Glass decanter on a black ceramic base; named from the decanter design (no label text visible).</t>
  </si>
  <si>
    <t xml:space="preserve">White ceramic decanter with cobalt-blue painting.</t>
  </si>
  <si>
    <t xml:space="preserve">Organic Reposado</t>
  </si>
  <si>
    <t xml:space="preserve">'Reposado' is faint on the glass; orange ribbon on the cork.</t>
  </si>
  <si>
    <t xml:space="preserve">Cazcanes</t>
  </si>
  <si>
    <t xml:space="preserve">No. 7 Añejo</t>
  </si>
  <si>
    <t xml:space="preserve">1942</t>
  </si>
  <si>
    <t xml:space="preserve">Photo 3 · top shelf (also Photo 2)</t>
  </si>
  <si>
    <t xml:space="preserve">Añejo Gran Reserva</t>
  </si>
  <si>
    <t xml:space="preserve">Black bottle.</t>
  </si>
  <si>
    <t xml:space="preserve">Extra añejo</t>
  </si>
  <si>
    <t xml:space="preserve">Extra Añejo 5 Year</t>
  </si>
  <si>
    <t xml:space="preserve">Partida</t>
  </si>
  <si>
    <t xml:space="preserve">Elegante</t>
  </si>
  <si>
    <t xml:space="preserve">Square glass decanter.</t>
  </si>
  <si>
    <t xml:space="preserve">D'Antaño</t>
  </si>
  <si>
    <t xml:space="preserve">Round decanter with a '7' on the neck; label text is small.</t>
  </si>
  <si>
    <t xml:space="preserve">Aged blend</t>
  </si>
  <si>
    <t xml:space="preserve">El Alto</t>
  </si>
  <si>
    <t xml:space="preserve">Blend of reposado, añejo and extra añejo; dark green bottle.</t>
  </si>
  <si>
    <t xml:space="preserve">Unconfirmed</t>
  </si>
  <si>
    <t xml:space="preserve">White decanter (style unconfirmed)</t>
  </si>
  <si>
    <t xml:space="preserve">White ceramic decanter with a white cap and gold flower; not the classic Reposado design. Check the label.</t>
  </si>
  <si>
    <t xml:space="preserve">Tequila (expression not visible)</t>
  </si>
  <si>
    <t xml:space="preserve">Brand is readable; expression is hidden.</t>
  </si>
  <si>
    <t xml:space="preserve">Mezcal</t>
  </si>
  <si>
    <t xml:space="preserve">Joven · espadín</t>
  </si>
  <si>
    <t xml:space="preserve">400 Conejos</t>
  </si>
  <si>
    <t xml:space="preserve">Mexico (Oaxaca)</t>
  </si>
  <si>
    <t xml:space="preserve">Photo 3 · middle shelf</t>
  </si>
  <si>
    <t xml:space="preserve">Mezcal Joven</t>
  </si>
  <si>
    <t xml:space="preserve">Joven · papalote</t>
  </si>
  <si>
    <t xml:space="preserve">Mezcal Guerrero</t>
  </si>
  <si>
    <t xml:space="preserve">Mexico (Guerrero)</t>
  </si>
  <si>
    <t xml:space="preserve">Matte green ceramic decanter; named from the decanter design (no label text visible).</t>
  </si>
  <si>
    <t xml:space="preserve">Del Maguey</t>
  </si>
  <si>
    <t xml:space="preserve">Vida Clásico</t>
  </si>
  <si>
    <t xml:space="preserve">Photo 3 · middle shelf (also Photo 1)</t>
  </si>
  <si>
    <t xml:space="preserve">Single Village mezcal.</t>
  </si>
  <si>
    <t xml:space="preserve">Dos Hombres</t>
  </si>
  <si>
    <t xml:space="preserve">Joven · tobalá</t>
  </si>
  <si>
    <t xml:space="preserve">Tobalá</t>
  </si>
  <si>
    <t xml:space="preserve">White ceramic bottle.</t>
  </si>
  <si>
    <t xml:space="preserve">El Silencio</t>
  </si>
  <si>
    <t xml:space="preserve">Espadín</t>
  </si>
  <si>
    <t xml:space="preserve">Photo 3 · middle shelf (also Photo 2)</t>
  </si>
  <si>
    <t xml:space="preserve">Ilegal</t>
  </si>
  <si>
    <t xml:space="preserve">Bourbon</t>
  </si>
  <si>
    <t xml:space="preserve">Finished bourbon</t>
  </si>
  <si>
    <t xml:space="preserve">Angel's Envy</t>
  </si>
  <si>
    <t xml:space="preserve">Triple Oak</t>
  </si>
  <si>
    <t xml:space="preserve">USA (Kentucky)</t>
  </si>
  <si>
    <t xml:space="preserve">Photo 1 · middle shelf (also Photo 3)</t>
  </si>
  <si>
    <t xml:space="preserve">Finished in Hungarian, Chinkapin and French oak.</t>
  </si>
  <si>
    <t xml:space="preserve">Straight bourbon</t>
  </si>
  <si>
    <t xml:space="preserve">Basil Hayden</t>
  </si>
  <si>
    <t xml:space="preserve">10 Year</t>
  </si>
  <si>
    <t xml:space="preserve">Photo 1 · middle shelf</t>
  </si>
  <si>
    <t xml:space="preserve">Toast</t>
  </si>
  <si>
    <t xml:space="preserve">Kentucky Straight Bourbon</t>
  </si>
  <si>
    <t xml:space="preserve">Photo 1 · bottom shelf, back row</t>
  </si>
  <si>
    <t xml:space="preserve">Bulleit</t>
  </si>
  <si>
    <t xml:space="preserve">Photo 1 · bottom shelf</t>
  </si>
  <si>
    <t xml:space="preserve">Eagle Rare</t>
  </si>
  <si>
    <t xml:space="preserve">Single barrel</t>
  </si>
  <si>
    <t xml:space="preserve">Four Roses</t>
  </si>
  <si>
    <t xml:space="preserve">Single Barrel</t>
  </si>
  <si>
    <t xml:space="preserve">Small Batch</t>
  </si>
  <si>
    <t xml:space="preserve">Blended straight bourbon</t>
  </si>
  <si>
    <t xml:space="preserve">High West</t>
  </si>
  <si>
    <t xml:space="preserve">American Prairie Bourbon</t>
  </si>
  <si>
    <t xml:space="preserve">USA (Utah)</t>
  </si>
  <si>
    <t xml:space="preserve">Flavored (banana)</t>
  </si>
  <si>
    <t xml:space="preserve">Howler Head</t>
  </si>
  <si>
    <t xml:space="preserve">Banana Bourbon</t>
  </si>
  <si>
    <t xml:space="preserve">2 bottles; one is turned so its back label faces out.</t>
  </si>
  <si>
    <t xml:space="preserve">Kentucky Owl</t>
  </si>
  <si>
    <t xml:space="preserve">Confiscated</t>
  </si>
  <si>
    <t xml:space="preserve">Photo 1 · top shelf (also Photo 3)</t>
  </si>
  <si>
    <t xml:space="preserve">Wheated bourbon</t>
  </si>
  <si>
    <t xml:space="preserve">Rabbit Hole</t>
  </si>
  <si>
    <t xml:space="preserve">Cavehill</t>
  </si>
  <si>
    <t xml:space="preserve">Weller</t>
  </si>
  <si>
    <t xml:space="preserve">12 Year</t>
  </si>
  <si>
    <t xml:space="preserve">Special Reserve</t>
  </si>
  <si>
    <t xml:space="preserve">WhistlePig</t>
  </si>
  <si>
    <t xml:space="preserve">PiggyBack 100 Proof Bourbon (6 Year)</t>
  </si>
  <si>
    <t xml:space="preserve">Label partly hidden behind other bottles.</t>
  </si>
  <si>
    <t xml:space="preserve">Widow Jane</t>
  </si>
  <si>
    <t xml:space="preserve">USA (New York)</t>
  </si>
  <si>
    <t xml:space="preserve">Photo 1 · bottom shelf (also Photo 4)</t>
  </si>
  <si>
    <t xml:space="preserve">Proof (81 or 101) not visible.</t>
  </si>
  <si>
    <t xml:space="preserve">Rye Whiskey</t>
  </si>
  <si>
    <t xml:space="preserve">Finished rye</t>
  </si>
  <si>
    <t xml:space="preserve">Finished Rye</t>
  </si>
  <si>
    <t xml:space="preserve">Finished in Caribbean rum casks.</t>
  </si>
  <si>
    <t xml:space="preserve">Blended rye</t>
  </si>
  <si>
    <t xml:space="preserve">Dark Rye</t>
  </si>
  <si>
    <t xml:space="preserve">USA / Canada</t>
  </si>
  <si>
    <t xml:space="preserve">Straight rye</t>
  </si>
  <si>
    <t xml:space="preserve">95 Rye</t>
  </si>
  <si>
    <t xml:space="preserve">Bottled in bond</t>
  </si>
  <si>
    <t xml:space="preserve">Doc Swinson's</t>
  </si>
  <si>
    <t xml:space="preserve">Bottled in Bond Straight Rye (7 Year)</t>
  </si>
  <si>
    <t xml:space="preserve">American Whiskey</t>
  </si>
  <si>
    <t xml:space="preserve">Blend</t>
  </si>
  <si>
    <t xml:space="preserve">Campfire</t>
  </si>
  <si>
    <t xml:space="preserve">Rye, bourbon and peated Scotch blend.</t>
  </si>
  <si>
    <t xml:space="preserve">Traveller</t>
  </si>
  <si>
    <t xml:space="preserve">Blend No. 40</t>
  </si>
  <si>
    <t xml:space="preserve">Irish Whiskey</t>
  </si>
  <si>
    <t xml:space="preserve">Ireland</t>
  </si>
  <si>
    <t xml:space="preserve">Teeling</t>
  </si>
  <si>
    <t xml:space="preserve">Scotch Whisky</t>
  </si>
  <si>
    <t xml:space="preserve">Single malt · Speyside</t>
  </si>
  <si>
    <t xml:space="preserve">The Balvenie</t>
  </si>
  <si>
    <t xml:space="preserve">Caribbean Cask 14 Year</t>
  </si>
  <si>
    <t xml:space="preserve">Photo 4 · top shelf</t>
  </si>
  <si>
    <t xml:space="preserve">DoubleWood 12 Year</t>
  </si>
  <si>
    <t xml:space="preserve">Photo 4 · middle shelf</t>
  </si>
  <si>
    <t xml:space="preserve">Glenfiddich</t>
  </si>
  <si>
    <t xml:space="preserve">The Glenlivet</t>
  </si>
  <si>
    <t xml:space="preserve">Photo 4 · middle shelf (also Photo 1)</t>
  </si>
  <si>
    <t xml:space="preserve">The Macallan</t>
  </si>
  <si>
    <t xml:space="preserve">12 Year Sherry Oak</t>
  </si>
  <si>
    <t xml:space="preserve">18 Year Sherry Oak</t>
  </si>
  <si>
    <t xml:space="preserve">Photo 4 · top shelf (also Photo 1)</t>
  </si>
  <si>
    <t xml:space="preserve">Single malt · Highland</t>
  </si>
  <si>
    <t xml:space="preserve">Glenmorangie</t>
  </si>
  <si>
    <t xml:space="preserve">The Original 10 Year</t>
  </si>
  <si>
    <t xml:space="preserve">Oban</t>
  </si>
  <si>
    <t xml:space="preserve">14 Year</t>
  </si>
  <si>
    <t xml:space="preserve">Single malt · Islands</t>
  </si>
  <si>
    <t xml:space="preserve">Highland Park</t>
  </si>
  <si>
    <t xml:space="preserve">12 Year Viking Honour</t>
  </si>
  <si>
    <t xml:space="preserve">Single malt · Islay</t>
  </si>
  <si>
    <t xml:space="preserve">Lagavulin</t>
  </si>
  <si>
    <t xml:space="preserve">16 Year</t>
  </si>
  <si>
    <t xml:space="preserve">Laphroaig</t>
  </si>
  <si>
    <t xml:space="preserve">Single malt · Lowland</t>
  </si>
  <si>
    <t xml:space="preserve">Single Malt (43% ABV)</t>
  </si>
  <si>
    <t xml:space="preserve">Expression name too small to read; 43% ABV suggests Three Wood.</t>
  </si>
  <si>
    <t xml:space="preserve">Johnnie Walker</t>
  </si>
  <si>
    <t xml:space="preserve">Black Label 12 Year</t>
  </si>
  <si>
    <t xml:space="preserve">Japanese Whisky</t>
  </si>
  <si>
    <t xml:space="preserve">Single malt</t>
  </si>
  <si>
    <t xml:space="preserve">Hakushu</t>
  </si>
  <si>
    <t xml:space="preserve">Hatozaki</t>
  </si>
  <si>
    <t xml:space="preserve">Finest Japanese Whisky</t>
  </si>
  <si>
    <t xml:space="preserve">Photo 1 · top shelf</t>
  </si>
  <si>
    <t xml:space="preserve">Japanese whisky</t>
  </si>
  <si>
    <t xml:space="preserve">2 bottles; the labels differ slightly, so they may be two different Small Batch releases.</t>
  </si>
  <si>
    <t xml:space="preserve">Hibiki</t>
  </si>
  <si>
    <t xml:space="preserve">Japanese Harmony</t>
  </si>
  <si>
    <t xml:space="preserve">No age statement visible; the expression line on the label is small.</t>
  </si>
  <si>
    <t xml:space="preserve">Grain</t>
  </si>
  <si>
    <t xml:space="preserve">Nikka</t>
  </si>
  <si>
    <t xml:space="preserve">Coffey Grain</t>
  </si>
  <si>
    <t xml:space="preserve">Suntory</t>
  </si>
  <si>
    <t xml:space="preserve">Amaro &amp; Liqueur</t>
  </si>
  <si>
    <t xml:space="preserve">Amaro</t>
  </si>
  <si>
    <t xml:space="preserve">Italy</t>
  </si>
  <si>
    <t xml:space="preserve">Partly hidden behind a shelf post.</t>
  </si>
  <si>
    <t xml:space="preserve">Amaro (fernet)</t>
  </si>
  <si>
    <t xml:space="preserve">Fernet</t>
  </si>
  <si>
    <t xml:space="preserve">Bitter aperitivo</t>
  </si>
  <si>
    <t xml:space="preserve">St. George</t>
  </si>
  <si>
    <t xml:space="preserve">Bruto Americano</t>
  </si>
  <si>
    <t xml:space="preserve">USA (California)</t>
  </si>
  <si>
    <t xml:space="preserve">Summary</t>
  </si>
  <si>
    <t xml:space="preserve">By category</t>
  </si>
  <si>
    <t xml:space="preserve">Products</t>
  </si>
  <si>
    <t xml:space="preserve">Bottles</t>
  </si>
  <si>
    <t xml:space="preserve">Identified total</t>
  </si>
  <si>
    <t xml:space="preserve">Not identified (see Unidentified tab)</t>
  </si>
  <si>
    <t xml:space="preserve">Bottles counted</t>
  </si>
  <si>
    <t xml:space="preserve">Tequila by style</t>
  </si>
  <si>
    <t xml:space="preserve">How sure each ID is</t>
  </si>
  <si>
    <t xml:space="preserve">How this was counted</t>
  </si>
  <si>
    <t xml:space="preserve">Photo 1: Center bays: Japanese whisky, bourbon and rye (Hatozaki, Weller, Basil Hayden, Angel's Envy).</t>
  </si>
  <si>
    <t xml:space="preserve">Photo 2: Tequila wall (Tequila Ocho, Fortaleza, El Tesoro, Don Julio, Patrón).</t>
  </si>
  <si>
    <t xml:space="preserve">Photo 3: Upper shelves: Clase Azul decanters and mezcal.</t>
  </si>
  <si>
    <t xml:space="preserve">Photo 4: Left wall by the warning sign: Scotch, gin and vodka.</t>
  </si>
  <si>
    <t xml:space="preserve">Overlaps: The photos overlap. A bottle seen in two photos is counted once and marked 'also Photo X'.</t>
  </si>
  <si>
    <t xml:space="preserve">Mirrors: The shelves are backed by mirrors. Reflected (backwards) labels are not counted.</t>
  </si>
  <si>
    <t xml:space="preserve">Qty: Bottles visible in the photos, not fill levels. Bottles hidden behind others can't be counted.</t>
  </si>
  <si>
    <t xml:space="preserve">High: Brand and expression both readable on the label.</t>
  </si>
  <si>
    <t xml:space="preserve">Medium: Brand is certain; expression inferred from the bottle design or a partial label.</t>
  </si>
  <si>
    <t xml:space="preserve">Low: Best guess. Check the bottle.</t>
  </si>
  <si>
    <t xml:space="preserve">Not counted: About 20 more bottles on the lowest rail in Photo 3 are cut off by the photo.</t>
  </si>
  <si>
    <t xml:space="preserve">Not included: Guinness and Paperback Brewing 'Capiche?' tap handles (draft beer, not bottles).</t>
  </si>
  <si>
    <t xml:space="preserve">Bottles seen but not identified</t>
  </si>
  <si>
    <t xml:space="preserve">Visible in the photos, but the label was hidden, turned away or cut off. Fill in the brand once you check the shelf.</t>
  </si>
  <si>
    <t xml:space="preserve">What's visible</t>
  </si>
  <si>
    <t xml:space="preserve">Brand / product (fill in)</t>
  </si>
  <si>
    <t xml:space="preserve">Gin in a black, bumpy (hobnail) bottle. Label reads '…STILL… GIN'; brand not visible.</t>
  </si>
  <si>
    <t xml:space="preserve">Two frosted-glass bottles with black caps, behind Rabbit Hole. Labels not visible.</t>
  </si>
  <si>
    <t xml:space="preserve">Clear round bottle with a black cap and an embossed seal, between Maker's Mark and Four Roses. Label turned away.</t>
  </si>
  <si>
    <t xml:space="preserve">Small bottle with silver shimmer in the liquid, behind Four Roses Single Barrel.</t>
  </si>
  <si>
    <t xml:space="preserve">Bottle with dark liquid, behind Eagle Rare.</t>
  </si>
  <si>
    <t xml:space="preserve">Bottle in the back row with a black neck label starting 'CHA…'.</t>
  </si>
  <si>
    <t xml:space="preserve">Tall bottle with a blue cap and a coconut-and-lime label, behind Gosling's.</t>
  </si>
  <si>
    <t xml:space="preserve">Bottle with a black oval logo, partly hidden behind Gosling's.</t>
  </si>
  <si>
    <t xml:space="preserve">Green bottle behind Fernet-Branca; only the neck shows.</t>
  </si>
  <si>
    <t xml:space="preserve">Photo 3 · bottom edge of photo</t>
  </si>
  <si>
    <t xml:space="preserve">Lower rail cut off by the photo, only bottle necks visible (about 20). Neck labels include 'Louisville Kentucky', '…Watermelon' and '…Melon'.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</si>
</sst>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33"/>
      <name val="Arial"/>
      <family val="0"/>
      <charset val="1"/>
    </font>
    <font>
      <i val="true"/>
      <sz val="10"/>
      <color rgb="FF5B67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A33"/>
      <name val="Arial"/>
      <family val="0"/>
      <charset val="1"/>
    </font>
    <font>
      <b val="true"/>
      <i val="true"/>
      <sz val="10"/>
      <color rgb="FF1F2A33"/>
      <name val="Arial"/>
      <family val="0"/>
      <charset val="1"/>
    </font>
    <font>
      <b val="true"/>
      <sz val="10"/>
      <color rgb="FF1F2A33"/>
      <name val="Arial"/>
      <family val="0"/>
      <charset val="1"/>
    </font>
    <font>
      <b val="true"/>
      <sz val="12"/>
      <color rgb="FF1F2A3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4323D"/>
        <bgColor rgb="FF1F2A33"/>
      </patternFill>
    </fill>
    <fill>
      <patternFill patternType="solid">
        <fgColor rgb="FFFFFF00"/>
        <bgColor rgb="FFFFFF00"/>
      </patternFill>
    </fill>
    <fill>
      <patternFill patternType="solid">
        <fgColor rgb="FFE3E8EC"/>
        <bgColor rgb="FFDDF1E2"/>
      </patternFill>
    </fill>
    <fill>
      <patternFill patternType="solid">
        <fgColor rgb="FFF1F4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BE0"/>
      </bottom>
      <diagonal/>
    </border>
    <border diagonalUp="false" diagonalDown="false">
      <left/>
      <right/>
      <top style="thin">
        <color rgb="FF1F2A33"/>
      </top>
      <bottom style="double">
        <color rgb="FF1F2A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4323D"/>
          <bgColor rgb="FF000000"/>
        </patternFill>
      </fill>
    </dxf>
    <dxf>
      <fill>
        <patternFill patternType="solid">
          <fgColor rgb="FFF1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FBDADA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1E6B35"/>
          <bgColor rgb="FF000000"/>
        </patternFill>
      </fill>
    </dxf>
    <dxf>
      <fill>
        <patternFill patternType="solid">
          <fgColor rgb="FF7A5A00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ont>
        <name val="Arial"/>
        <charset val="1"/>
        <family val="0"/>
        <b val="1"/>
        <color rgb="FF1E6B35"/>
        <sz val="10"/>
      </font>
      <fill>
        <patternFill>
          <bgColor rgb="FFDDF1E2"/>
        </patternFill>
      </fill>
    </dxf>
    <dxf>
      <font>
        <name val="Arial"/>
        <charset val="1"/>
        <family val="0"/>
        <b val="1"/>
        <color rgb="FF7A5A00"/>
        <sz val="10"/>
      </font>
      <fill>
        <patternFill>
          <bgColor rgb="FFFFF1CC"/>
        </patternFill>
      </fill>
    </dxf>
    <dxf>
      <font>
        <name val="Arial"/>
        <charset val="1"/>
        <family val="0"/>
        <b val="1"/>
        <color rgb="FF9B1C1C"/>
        <sz val="10"/>
      </font>
      <fill>
        <patternFill>
          <bgColor rgb="FFFBDA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5"/>
      <rgbColor rgb="FF000080"/>
      <rgbColor rgb="FF7A5A00"/>
      <rgbColor rgb="FF800080"/>
      <rgbColor rgb="FF008080"/>
      <rgbColor rgb="FFC0C0C0"/>
      <rgbColor rgb="FF808080"/>
      <rgbColor rgb="FF9999FF"/>
      <rgbColor rgb="FF993366"/>
      <rgbColor rgb="FFFFF1CC"/>
      <rgbColor rgb="FFF1F4F6"/>
      <rgbColor rgb="FF660066"/>
      <rgbColor rgb="FFFF8080"/>
      <rgbColor rgb="FF0066CC"/>
      <rgbColor rgb="FFD5DB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EC"/>
      <rgbColor rgb="FFDDF1E2"/>
      <rgbColor rgb="FFFFFF99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003366"/>
      <rgbColor rgb="FF339966"/>
      <rgbColor rgb="FF003300"/>
      <rgbColor rgb="FF1F2A33"/>
      <rgbColor rgb="FF9B1C1C"/>
      <rgbColor rgb="FF993366"/>
      <rgbColor rgb="FF333399"/>
      <rgbColor rgb="FF2432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6" customFormat="false" ht="15" hidden="false" customHeight="false" outlineLevel="0" collapsed="false">
      <c r="A6" s="5" t="s">
        <v>4</v>
      </c>
      <c r="B6" s="6"/>
    </row>
    <row r="7" customFormat="false" ht="15" hidden="false" customHeight="false" outlineLevel="0" collapsed="false">
      <c r="A7" s="7" t="s">
        <v>5</v>
      </c>
      <c r="B7" s="8"/>
    </row>
    <row r="8" customFormat="false" ht="15" hidden="false" customHeight="false" outlineLevel="0" collapsed="false">
      <c r="A8" s="7" t="s">
        <v>6</v>
      </c>
      <c r="B8" s="8"/>
    </row>
    <row r="9" customFormat="false" ht="15" hidden="false" customHeight="false" outlineLevel="0" collapsed="false">
      <c r="A9" s="7" t="s">
        <v>7</v>
      </c>
      <c r="B9" s="8"/>
    </row>
    <row r="10" customFormat="false" ht="15" hidden="false" customHeight="false" outlineLevel="0" collapsed="false">
      <c r="A10" s="7" t="s">
        <v>8</v>
      </c>
      <c r="B10" s="8"/>
    </row>
    <row r="12" customFormat="false" ht="15" hidden="false" customHeight="false" outlineLevel="0" collapsed="false">
      <c r="A12" s="5" t="s">
        <v>9</v>
      </c>
      <c r="B12" s="6"/>
    </row>
    <row r="13" customFormat="false" ht="15" hidden="false" customHeight="false" outlineLevel="0" collapsed="false">
      <c r="A13" s="7" t="s">
        <v>10</v>
      </c>
      <c r="B13" s="8"/>
    </row>
    <row r="14" customFormat="false" ht="15" hidden="false" customHeight="false" outlineLevel="0" collapsed="false">
      <c r="A14" s="7" t="s">
        <v>11</v>
      </c>
      <c r="B14" s="8"/>
    </row>
    <row r="15" customFormat="false" ht="15" hidden="false" customHeight="false" outlineLevel="0" collapsed="false">
      <c r="A15" s="7" t="s">
        <v>12</v>
      </c>
      <c r="B15" s="8"/>
    </row>
    <row r="16" customFormat="false" ht="15" hidden="false" customHeight="false" outlineLevel="0" collapsed="false">
      <c r="A16" s="7" t="s">
        <v>13</v>
      </c>
      <c r="B16" s="8"/>
    </row>
    <row r="17" customFormat="false" ht="15" hidden="false" customHeight="false" outlineLevel="0" collapsed="false">
      <c r="A17" s="7" t="s">
        <v>14</v>
      </c>
      <c r="B17" s="8"/>
    </row>
    <row r="18" customFormat="false" ht="15" hidden="false" customHeight="false" outlineLevel="0" collapsed="false">
      <c r="A18" s="7" t="s">
        <v>15</v>
      </c>
      <c r="B18" s="8"/>
    </row>
    <row r="19" customFormat="false" ht="15" hidden="false" customHeight="false" outlineLevel="0" collapsed="false">
      <c r="A19" s="7" t="s">
        <v>16</v>
      </c>
      <c r="B19" s="8"/>
    </row>
    <row r="21" customFormat="false" ht="15" hidden="false" customHeight="false" outlineLevel="0" collapsed="false">
      <c r="A21" s="5" t="s">
        <v>17</v>
      </c>
      <c r="B21" s="6"/>
    </row>
    <row r="22" customFormat="false" ht="15" hidden="false" customHeight="false" outlineLevel="0" collapsed="false">
      <c r="A22" s="7" t="s">
        <v>18</v>
      </c>
      <c r="B22" s="8"/>
    </row>
    <row r="24" customFormat="false" ht="15" hidden="false" customHeight="false" outlineLevel="0" collapsed="false">
      <c r="A24" s="5" t="s">
        <v>19</v>
      </c>
      <c r="B24" s="6"/>
    </row>
    <row r="25" customFormat="false" ht="15" hidden="false" customHeight="false" outlineLevel="0" collapsed="false">
      <c r="A25" s="9" t="s">
        <v>20</v>
      </c>
      <c r="B25" s="10"/>
    </row>
    <row r="26" customFormat="false" ht="15" hidden="false" customHeight="false" outlineLevel="0" collapsed="false">
      <c r="A26" s="7" t="s">
        <v>21</v>
      </c>
      <c r="B26" s="8"/>
    </row>
    <row r="27" customFormat="false" ht="15" hidden="false" customHeight="false" outlineLevel="0" collapsed="false">
      <c r="A27" s="7" t="s">
        <v>22</v>
      </c>
      <c r="B27" s="8"/>
    </row>
    <row r="28" customFormat="false" ht="15" hidden="false" customHeight="false" outlineLevel="0" collapsed="false">
      <c r="A28" s="7" t="s">
        <v>23</v>
      </c>
      <c r="B28" s="8"/>
    </row>
    <row r="29" customFormat="false" ht="15" hidden="false" customHeight="false" outlineLevel="0" collapsed="false">
      <c r="A29" s="7" t="s">
        <v>24</v>
      </c>
      <c r="B29" s="8"/>
    </row>
    <row r="30" customFormat="false" ht="15" hidden="false" customHeight="false" outlineLevel="0" collapsed="false">
      <c r="A30" s="7" t="s">
        <v>25</v>
      </c>
      <c r="B30" s="8"/>
    </row>
    <row r="31" customFormat="false" ht="15" hidden="false" customHeight="false" outlineLevel="0" collapsed="false">
      <c r="A31" s="7" t="s">
        <v>26</v>
      </c>
      <c r="B31" s="8"/>
    </row>
    <row r="32" customFormat="false" ht="15" hidden="false" customHeight="false" outlineLevel="0" collapsed="false">
      <c r="A32" s="7" t="s">
        <v>27</v>
      </c>
      <c r="B32" s="8"/>
    </row>
    <row r="33" customFormat="false" ht="15" hidden="false" customHeight="false" outlineLevel="0" collapsed="false">
      <c r="A33" s="7" t="s">
        <v>28</v>
      </c>
      <c r="B33" s="8"/>
    </row>
    <row r="34" customFormat="false" ht="15" hidden="false" customHeight="false" outlineLevel="0" collapsed="false">
      <c r="A34" s="7" t="s">
        <v>29</v>
      </c>
      <c r="B34" s="8"/>
    </row>
    <row r="35" customFormat="false" ht="15" hidden="false" customHeight="false" outlineLevel="0" collapsed="false">
      <c r="A35" s="7" t="s">
        <v>30</v>
      </c>
      <c r="B35" s="8"/>
    </row>
    <row r="36" customFormat="false" ht="15" hidden="false" customHeight="false" outlineLevel="0" collapsed="false">
      <c r="A36" s="7" t="s">
        <v>31</v>
      </c>
      <c r="B36" s="8"/>
    </row>
    <row r="37" customFormat="false" ht="15" hidden="false" customHeight="false" outlineLevel="0" collapsed="false">
      <c r="A37" s="7" t="s">
        <v>32</v>
      </c>
      <c r="B37" s="8"/>
    </row>
    <row r="38" customFormat="false" ht="15" hidden="false" customHeight="false" outlineLevel="0" collapsed="false">
      <c r="A38" s="7" t="s">
        <v>33</v>
      </c>
      <c r="B38" s="8"/>
    </row>
    <row r="39" customFormat="false" ht="15" hidden="false" customHeight="false" outlineLevel="0" collapsed="false">
      <c r="A39" s="7" t="s">
        <v>34</v>
      </c>
      <c r="B39" s="8"/>
    </row>
    <row r="40" customFormat="false" ht="15" hidden="false" customHeight="false" outlineLevel="0" collapsed="false">
      <c r="A40" s="7" t="s">
        <v>35</v>
      </c>
      <c r="B40" s="8"/>
    </row>
    <row r="41" customFormat="false" ht="15" hidden="false" customHeight="false" outlineLevel="0" collapsed="false">
      <c r="A41" s="7" t="s">
        <v>36</v>
      </c>
      <c r="B41" s="8"/>
    </row>
    <row r="42" customFormat="false" ht="15" hidden="false" customHeight="false" outlineLevel="0" collapsed="false">
      <c r="A42" s="7" t="s">
        <v>37</v>
      </c>
      <c r="B42" s="8"/>
    </row>
    <row r="43" customFormat="false" ht="15" hidden="false" customHeight="false" outlineLevel="0" collapsed="false">
      <c r="A43" s="9" t="s">
        <v>38</v>
      </c>
      <c r="B43" s="10"/>
    </row>
    <row r="44" customFormat="false" ht="15" hidden="false" customHeight="false" outlineLevel="0" collapsed="false">
      <c r="A44" s="7" t="s">
        <v>39</v>
      </c>
      <c r="B44" s="8"/>
    </row>
    <row r="45" customFormat="false" ht="15" hidden="false" customHeight="false" outlineLevel="0" collapsed="false">
      <c r="A45" s="9" t="s">
        <v>40</v>
      </c>
      <c r="B45" s="10"/>
    </row>
    <row r="46" customFormat="false" ht="15" hidden="false" customHeight="false" outlineLevel="0" collapsed="false">
      <c r="A46" s="7" t="s">
        <v>41</v>
      </c>
      <c r="B46" s="8"/>
    </row>
    <row r="47" customFormat="false" ht="15" hidden="false" customHeight="false" outlineLevel="0" collapsed="false">
      <c r="A47" s="7" t="s">
        <v>42</v>
      </c>
      <c r="B47" s="8"/>
    </row>
    <row r="48" customFormat="false" ht="15" hidden="false" customHeight="false" outlineLevel="0" collapsed="false">
      <c r="A48" s="7" t="s">
        <v>43</v>
      </c>
      <c r="B48" s="8"/>
    </row>
    <row r="49" customFormat="false" ht="15" hidden="false" customHeight="false" outlineLevel="0" collapsed="false">
      <c r="A49" s="7" t="s">
        <v>44</v>
      </c>
      <c r="B49" s="8"/>
    </row>
    <row r="50" customFormat="false" ht="15" hidden="false" customHeight="false" outlineLevel="0" collapsed="false">
      <c r="A50" s="7" t="s">
        <v>45</v>
      </c>
      <c r="B50" s="8"/>
    </row>
    <row r="51" customFormat="false" ht="15" hidden="false" customHeight="false" outlineLevel="0" collapsed="false">
      <c r="A51" s="7" t="s">
        <v>46</v>
      </c>
      <c r="B51" s="8"/>
    </row>
    <row r="52" customFormat="false" ht="15" hidden="false" customHeight="false" outlineLevel="0" collapsed="false">
      <c r="A52" s="7" t="s">
        <v>47</v>
      </c>
      <c r="B52" s="8"/>
    </row>
    <row r="53" customFormat="false" ht="15" hidden="false" customHeight="false" outlineLevel="0" collapsed="false">
      <c r="A53" s="7" t="s">
        <v>48</v>
      </c>
      <c r="B53" s="8"/>
    </row>
    <row r="54" customFormat="false" ht="15" hidden="false" customHeight="false" outlineLevel="0" collapsed="false">
      <c r="A54" s="7" t="s">
        <v>49</v>
      </c>
      <c r="B54" s="8"/>
    </row>
    <row r="55" customFormat="false" ht="15" hidden="false" customHeight="false" outlineLevel="0" collapsed="false">
      <c r="A55" s="7" t="s">
        <v>50</v>
      </c>
      <c r="B55" s="8"/>
    </row>
    <row r="56" customFormat="false" ht="15" hidden="false" customHeight="false" outlineLevel="0" collapsed="false">
      <c r="A56" s="7" t="s">
        <v>51</v>
      </c>
      <c r="B56" s="8"/>
    </row>
    <row r="57" customFormat="false" ht="15" hidden="false" customHeight="false" outlineLevel="0" collapsed="false">
      <c r="A57" s="9" t="s">
        <v>52</v>
      </c>
      <c r="B57" s="10"/>
    </row>
    <row r="58" customFormat="false" ht="15" hidden="false" customHeight="false" outlineLevel="0" collapsed="false">
      <c r="A58" s="7" t="s">
        <v>53</v>
      </c>
      <c r="B58" s="8"/>
    </row>
    <row r="59" customFormat="false" ht="15" hidden="false" customHeight="false" outlineLevel="0" collapsed="false">
      <c r="A59" s="7" t="s">
        <v>54</v>
      </c>
      <c r="B59" s="8"/>
    </row>
    <row r="60" customFormat="false" ht="15" hidden="false" customHeight="false" outlineLevel="0" collapsed="false">
      <c r="A60" s="7" t="s">
        <v>55</v>
      </c>
      <c r="B60" s="8"/>
    </row>
    <row r="61" customFormat="false" ht="15" hidden="false" customHeight="false" outlineLevel="0" collapsed="false">
      <c r="A61" s="7" t="s">
        <v>56</v>
      </c>
      <c r="B61" s="8"/>
    </row>
    <row r="62" customFormat="false" ht="15" hidden="false" customHeight="false" outlineLevel="0" collapsed="false">
      <c r="A62" s="7" t="s">
        <v>57</v>
      </c>
      <c r="B62" s="8"/>
    </row>
    <row r="63" customFormat="false" ht="15" hidden="false" customHeight="false" outlineLevel="0" collapsed="false">
      <c r="A63" s="7" t="s">
        <v>58</v>
      </c>
      <c r="B63" s="8"/>
    </row>
    <row r="64" customFormat="false" ht="15" hidden="false" customHeight="false" outlineLevel="0" collapsed="false">
      <c r="A64" s="7" t="s">
        <v>59</v>
      </c>
      <c r="B64" s="8"/>
    </row>
    <row r="65" customFormat="false" ht="15" hidden="false" customHeight="false" outlineLevel="0" collapsed="false">
      <c r="A65" s="7" t="s">
        <v>60</v>
      </c>
      <c r="B65" s="8"/>
    </row>
    <row r="66" customFormat="false" ht="15" hidden="false" customHeight="false" outlineLevel="0" collapsed="false">
      <c r="A66" s="9" t="s">
        <v>61</v>
      </c>
      <c r="B66" s="10"/>
    </row>
    <row r="67" customFormat="false" ht="15" hidden="false" customHeight="false" outlineLevel="0" collapsed="false">
      <c r="A67" s="7" t="s">
        <v>62</v>
      </c>
      <c r="B67" s="8"/>
    </row>
    <row r="68" customFormat="false" ht="15" hidden="false" customHeight="false" outlineLevel="0" collapsed="false">
      <c r="A68" s="7" t="s">
        <v>63</v>
      </c>
      <c r="B68" s="8"/>
    </row>
    <row r="69" customFormat="false" ht="15" hidden="false" customHeight="false" outlineLevel="0" collapsed="false">
      <c r="A69" s="7" t="s">
        <v>64</v>
      </c>
      <c r="B69" s="8"/>
    </row>
    <row r="70" customFormat="false" ht="15" hidden="false" customHeight="false" outlineLevel="0" collapsed="false">
      <c r="A70" s="9" t="s">
        <v>65</v>
      </c>
      <c r="B70" s="10"/>
    </row>
    <row r="71" customFormat="false" ht="15" hidden="false" customHeight="false" outlineLevel="0" collapsed="false">
      <c r="A71" s="7" t="s">
        <v>66</v>
      </c>
      <c r="B71" s="8"/>
    </row>
    <row r="72" customFormat="false" ht="15" hidden="false" customHeight="false" outlineLevel="0" collapsed="false">
      <c r="A72" s="7" t="s">
        <v>67</v>
      </c>
      <c r="B72" s="8"/>
    </row>
    <row r="74" customFormat="false" ht="15" hidden="false" customHeight="false" outlineLevel="0" collapsed="false">
      <c r="A74" s="5" t="s">
        <v>68</v>
      </c>
      <c r="B74" s="6"/>
    </row>
    <row r="75" customFormat="false" ht="15" hidden="false" customHeight="false" outlineLevel="0" collapsed="false">
      <c r="A75" s="7" t="s">
        <v>69</v>
      </c>
      <c r="B75" s="8"/>
    </row>
    <row r="76" customFormat="false" ht="15" hidden="false" customHeight="false" outlineLevel="0" collapsed="false">
      <c r="A76" s="7" t="s">
        <v>70</v>
      </c>
      <c r="B76" s="8"/>
    </row>
    <row r="77" customFormat="false" ht="15" hidden="false" customHeight="false" outlineLevel="0" collapsed="false">
      <c r="A77" s="7" t="s">
        <v>71</v>
      </c>
      <c r="B77" s="8"/>
    </row>
    <row r="78" customFormat="false" ht="15" hidden="false" customHeight="false" outlineLevel="0" collapsed="false">
      <c r="A78" s="7" t="s">
        <v>72</v>
      </c>
      <c r="B78" s="8"/>
    </row>
    <row r="79" customFormat="false" ht="15" hidden="false" customHeight="false" outlineLevel="0" collapsed="false">
      <c r="A79" s="7" t="s">
        <v>73</v>
      </c>
      <c r="B79" s="8"/>
    </row>
    <row r="80" customFormat="false" ht="15" hidden="false" customHeight="false" outlineLevel="0" collapsed="false">
      <c r="A80" s="7" t="s">
        <v>74</v>
      </c>
      <c r="B80" s="8"/>
    </row>
    <row r="81" customFormat="false" ht="15" hidden="false" customHeight="false" outlineLevel="0" collapsed="false">
      <c r="A81" s="7" t="s">
        <v>75</v>
      </c>
      <c r="B81" s="8"/>
    </row>
    <row r="82" customFormat="false" ht="15" hidden="false" customHeight="false" outlineLevel="0" collapsed="false">
      <c r="A82" s="7" t="s">
        <v>76</v>
      </c>
      <c r="B82" s="8"/>
    </row>
    <row r="83" customFormat="false" ht="15" hidden="false" customHeight="false" outlineLevel="0" collapsed="false">
      <c r="A83" s="7" t="s">
        <v>77</v>
      </c>
      <c r="B83" s="8"/>
    </row>
    <row r="85" customFormat="false" ht="15" hidden="false" customHeight="false" outlineLevel="0" collapsed="false">
      <c r="A85" s="5" t="s">
        <v>78</v>
      </c>
      <c r="B85" s="6"/>
    </row>
    <row r="86" customFormat="false" ht="15" hidden="false" customHeight="false" outlineLevel="0" collapsed="false">
      <c r="A86" s="7" t="s">
        <v>79</v>
      </c>
      <c r="B86" s="8"/>
    </row>
    <row r="87" customFormat="false" ht="15" hidden="false" customHeight="false" outlineLevel="0" collapsed="false">
      <c r="A87" s="7" t="s">
        <v>80</v>
      </c>
      <c r="B87" s="8"/>
    </row>
    <row r="88" customFormat="false" ht="15" hidden="false" customHeight="false" outlineLevel="0" collapsed="false">
      <c r="A88" s="7" t="s">
        <v>81</v>
      </c>
      <c r="B88" s="8"/>
    </row>
    <row r="89" customFormat="false" ht="15" hidden="false" customHeight="false" outlineLevel="0" collapsed="false">
      <c r="A89" s="7" t="s">
        <v>82</v>
      </c>
      <c r="B89" s="8"/>
    </row>
    <row r="90" customFormat="false" ht="15" hidden="false" customHeight="false" outlineLevel="0" collapsed="false">
      <c r="A90" s="7" t="s">
        <v>83</v>
      </c>
      <c r="B90" s="8"/>
    </row>
    <row r="91" customFormat="false" ht="15" hidden="false" customHeight="false" outlineLevel="0" collapsed="false">
      <c r="A91" s="7" t="s">
        <v>84</v>
      </c>
      <c r="B91" s="8"/>
    </row>
    <row r="92" customFormat="false" ht="15" hidden="false" customHeight="false" outlineLevel="0" collapsed="false">
      <c r="A92" s="7" t="s">
        <v>85</v>
      </c>
      <c r="B92" s="8"/>
    </row>
    <row r="93" customFormat="false" ht="15" hidden="false" customHeight="false" outlineLevel="0" collapsed="false">
      <c r="A93" s="7" t="s">
        <v>86</v>
      </c>
      <c r="B93" s="8"/>
    </row>
    <row r="94" customFormat="false" ht="15" hidden="false" customHeight="false" outlineLevel="0" collapsed="false">
      <c r="A94" s="7" t="s">
        <v>87</v>
      </c>
      <c r="B94" s="8"/>
    </row>
    <row r="95" customFormat="false" ht="15" hidden="false" customHeight="false" outlineLevel="0" collapsed="false">
      <c r="A95" s="7" t="s">
        <v>88</v>
      </c>
      <c r="B95" s="8"/>
    </row>
    <row r="96" customFormat="false" ht="15" hidden="false" customHeight="false" outlineLevel="0" collapsed="false">
      <c r="A96" s="7" t="s">
        <v>89</v>
      </c>
      <c r="B96" s="8"/>
    </row>
    <row r="97" customFormat="false" ht="15" hidden="false" customHeight="false" outlineLevel="0" collapsed="false">
      <c r="A97" s="7" t="s">
        <v>90</v>
      </c>
      <c r="B97" s="8"/>
    </row>
    <row r="98" customFormat="false" ht="15" hidden="false" customHeight="false" outlineLevel="0" collapsed="false">
      <c r="A98" s="7" t="s">
        <v>91</v>
      </c>
      <c r="B98" s="8"/>
    </row>
    <row r="99" customFormat="false" ht="15" hidden="false" customHeight="false" outlineLevel="0" collapsed="false">
      <c r="A99" s="7" t="s">
        <v>92</v>
      </c>
      <c r="B99" s="8"/>
    </row>
    <row r="100" customFormat="false" ht="15" hidden="false" customHeight="false" outlineLevel="0" collapsed="false">
      <c r="A100" s="7" t="s">
        <v>93</v>
      </c>
      <c r="B100" s="8"/>
    </row>
    <row r="101" customFormat="false" ht="15" hidden="false" customHeight="false" outlineLevel="0" collapsed="false">
      <c r="A101" s="7" t="s">
        <v>94</v>
      </c>
      <c r="B101" s="8"/>
    </row>
    <row r="102" customFormat="false" ht="15" hidden="false" customHeight="false" outlineLevel="0" collapsed="false">
      <c r="A102" s="7" t="s">
        <v>95</v>
      </c>
      <c r="B102" s="8"/>
    </row>
    <row r="103" customFormat="false" ht="15" hidden="false" customHeight="false" outlineLevel="0" collapsed="false">
      <c r="A103" s="7" t="s">
        <v>96</v>
      </c>
      <c r="B103" s="8"/>
    </row>
    <row r="105" customFormat="false" ht="15" hidden="false" customHeight="false" outlineLevel="0" collapsed="false">
      <c r="A105" s="5" t="s">
        <v>97</v>
      </c>
      <c r="B105" s="6"/>
    </row>
    <row r="106" customFormat="false" ht="15" hidden="false" customHeight="false" outlineLevel="0" collapsed="false">
      <c r="A106" s="7" t="s">
        <v>98</v>
      </c>
      <c r="B106" s="8"/>
    </row>
    <row r="107" customFormat="false" ht="15" hidden="false" customHeight="false" outlineLevel="0" collapsed="false">
      <c r="A107" s="7" t="s">
        <v>99</v>
      </c>
      <c r="B107" s="8"/>
    </row>
    <row r="108" customFormat="false" ht="15" hidden="false" customHeight="false" outlineLevel="0" collapsed="false">
      <c r="A108" s="7" t="s">
        <v>100</v>
      </c>
      <c r="B108" s="8"/>
    </row>
    <row r="109" customFormat="false" ht="15" hidden="false" customHeight="false" outlineLevel="0" collapsed="false">
      <c r="A109" s="7" t="s">
        <v>101</v>
      </c>
      <c r="B109" s="8"/>
    </row>
    <row r="111" customFormat="false" ht="15" hidden="false" customHeight="false" outlineLevel="0" collapsed="false">
      <c r="A111" s="5" t="s">
        <v>102</v>
      </c>
      <c r="B111" s="6"/>
    </row>
    <row r="112" customFormat="false" ht="15" hidden="false" customHeight="false" outlineLevel="0" collapsed="false">
      <c r="A112" s="7" t="s">
        <v>103</v>
      </c>
      <c r="B112" s="8"/>
    </row>
    <row r="113" customFormat="false" ht="15" hidden="false" customHeight="false" outlineLevel="0" collapsed="false">
      <c r="A113" s="7" t="s">
        <v>104</v>
      </c>
      <c r="B113" s="8"/>
    </row>
    <row r="115" customFormat="false" ht="15" hidden="false" customHeight="false" outlineLevel="0" collapsed="false">
      <c r="A115" s="5" t="s">
        <v>105</v>
      </c>
      <c r="B115" s="6"/>
    </row>
    <row r="116" customFormat="false" ht="15" hidden="false" customHeight="false" outlineLevel="0" collapsed="false">
      <c r="A116" s="7" t="s">
        <v>106</v>
      </c>
      <c r="B116" s="8"/>
    </row>
    <row r="117" customFormat="false" ht="15" hidden="false" customHeight="false" outlineLevel="0" collapsed="false">
      <c r="A117" s="7" t="s">
        <v>107</v>
      </c>
      <c r="B117" s="8"/>
    </row>
    <row r="119" customFormat="false" ht="15" hidden="false" customHeight="false" outlineLevel="0" collapsed="false">
      <c r="A119" s="5" t="s">
        <v>108</v>
      </c>
      <c r="B119" s="6"/>
    </row>
    <row r="120" customFormat="false" ht="15" hidden="false" customHeight="false" outlineLevel="0" collapsed="false">
      <c r="A120" s="9" t="s">
        <v>109</v>
      </c>
      <c r="B120" s="10"/>
    </row>
    <row r="121" customFormat="false" ht="15" hidden="false" customHeight="false" outlineLevel="0" collapsed="false">
      <c r="A121" s="7" t="s">
        <v>110</v>
      </c>
      <c r="B121" s="8"/>
    </row>
    <row r="122" customFormat="false" ht="15" hidden="false" customHeight="false" outlineLevel="0" collapsed="false">
      <c r="A122" s="7" t="s">
        <v>111</v>
      </c>
      <c r="B122" s="8"/>
    </row>
    <row r="123" customFormat="false" ht="15" hidden="false" customHeight="false" outlineLevel="0" collapsed="false">
      <c r="A123" s="7" t="s">
        <v>112</v>
      </c>
      <c r="B123" s="8"/>
    </row>
    <row r="124" customFormat="false" ht="15" hidden="false" customHeight="false" outlineLevel="0" collapsed="false">
      <c r="A124" s="7" t="s">
        <v>113</v>
      </c>
      <c r="B124" s="8"/>
    </row>
    <row r="125" customFormat="false" ht="15" hidden="false" customHeight="false" outlineLevel="0" collapsed="false">
      <c r="A125" s="7" t="s">
        <v>114</v>
      </c>
      <c r="B125" s="8"/>
    </row>
    <row r="126" customFormat="false" ht="15" hidden="false" customHeight="false" outlineLevel="0" collapsed="false">
      <c r="A126" s="7" t="s">
        <v>115</v>
      </c>
      <c r="B126" s="8"/>
    </row>
    <row r="127" customFormat="false" ht="15" hidden="false" customHeight="false" outlineLevel="0" collapsed="false">
      <c r="A127" s="9" t="s">
        <v>116</v>
      </c>
      <c r="B127" s="10"/>
    </row>
    <row r="128" customFormat="false" ht="15" hidden="false" customHeight="false" outlineLevel="0" collapsed="false">
      <c r="A128" s="7" t="s">
        <v>117</v>
      </c>
      <c r="B128" s="8"/>
    </row>
    <row r="129" customFormat="false" ht="15" hidden="false" customHeight="false" outlineLevel="0" collapsed="false">
      <c r="A129" s="7" t="s">
        <v>118</v>
      </c>
      <c r="B129" s="8"/>
    </row>
    <row r="130" customFormat="false" ht="15" hidden="false" customHeight="false" outlineLevel="0" collapsed="false">
      <c r="A130" s="9" t="s">
        <v>119</v>
      </c>
      <c r="B130" s="10"/>
    </row>
    <row r="131" customFormat="false" ht="15" hidden="false" customHeight="false" outlineLevel="0" collapsed="false">
      <c r="A131" s="7" t="s">
        <v>120</v>
      </c>
      <c r="B131" s="8"/>
    </row>
    <row r="132" customFormat="false" ht="15" hidden="false" customHeight="false" outlineLevel="0" collapsed="false">
      <c r="A132" s="9" t="s">
        <v>121</v>
      </c>
      <c r="B132" s="10"/>
    </row>
    <row r="133" customFormat="false" ht="15" hidden="false" customHeight="false" outlineLevel="0" collapsed="false">
      <c r="A133" s="7" t="s">
        <v>122</v>
      </c>
      <c r="B133" s="8"/>
    </row>
    <row r="134" customFormat="false" ht="15" hidden="false" customHeight="false" outlineLevel="0" collapsed="false">
      <c r="A134" s="7" t="s">
        <v>123</v>
      </c>
      <c r="B134" s="8"/>
    </row>
    <row r="135" customFormat="false" ht="15" hidden="false" customHeight="false" outlineLevel="0" collapsed="false">
      <c r="A135" s="9" t="s">
        <v>124</v>
      </c>
      <c r="B135" s="10"/>
    </row>
    <row r="136" customFormat="false" ht="15" hidden="false" customHeight="false" outlineLevel="0" collapsed="false">
      <c r="A136" s="7" t="s">
        <v>125</v>
      </c>
      <c r="B136" s="8"/>
    </row>
    <row r="137" customFormat="false" ht="15" hidden="false" customHeight="false" outlineLevel="0" collapsed="false">
      <c r="A137" s="9" t="s">
        <v>126</v>
      </c>
      <c r="B137" s="10"/>
    </row>
    <row r="138" customFormat="false" ht="15" hidden="false" customHeight="false" outlineLevel="0" collapsed="false">
      <c r="A138" s="7" t="s">
        <v>127</v>
      </c>
      <c r="B138" s="8"/>
    </row>
    <row r="140" customFormat="false" ht="15" hidden="false" customHeight="false" outlineLevel="0" collapsed="false">
      <c r="A140" s="5" t="s">
        <v>128</v>
      </c>
      <c r="B140" s="6"/>
    </row>
    <row r="141" customFormat="false" ht="15" hidden="false" customHeight="false" outlineLevel="0" collapsed="false">
      <c r="A141" s="7" t="s">
        <v>129</v>
      </c>
      <c r="B141" s="8"/>
    </row>
    <row r="142" customFormat="false" ht="15" hidden="false" customHeight="false" outlineLevel="0" collapsed="false">
      <c r="A142" s="7" t="s">
        <v>130</v>
      </c>
      <c r="B142" s="8"/>
    </row>
    <row r="143" customFormat="false" ht="15" hidden="false" customHeight="false" outlineLevel="0" collapsed="false">
      <c r="A143" s="7" t="s">
        <v>131</v>
      </c>
      <c r="B143" s="8"/>
    </row>
    <row r="144" customFormat="false" ht="15" hidden="false" customHeight="false" outlineLevel="0" collapsed="false">
      <c r="A144" s="7" t="s">
        <v>132</v>
      </c>
      <c r="B144" s="8"/>
    </row>
    <row r="145" customFormat="false" ht="15" hidden="false" customHeight="false" outlineLevel="0" collapsed="false">
      <c r="A145" s="7" t="s">
        <v>133</v>
      </c>
      <c r="B145" s="8"/>
    </row>
    <row r="146" customFormat="false" ht="15" hidden="false" customHeight="false" outlineLevel="0" collapsed="false">
      <c r="A146" s="7" t="s">
        <v>134</v>
      </c>
      <c r="B146" s="8"/>
    </row>
    <row r="148" customFormat="false" ht="15" hidden="false" customHeight="false" outlineLevel="0" collapsed="false">
      <c r="A148" s="5" t="s">
        <v>135</v>
      </c>
      <c r="B148" s="6"/>
    </row>
    <row r="149" customFormat="false" ht="15" hidden="false" customHeight="false" outlineLevel="0" collapsed="false">
      <c r="A149" s="7" t="s">
        <v>136</v>
      </c>
      <c r="B149" s="8"/>
    </row>
    <row r="150" customFormat="false" ht="15" hidden="false" customHeight="false" outlineLevel="0" collapsed="false">
      <c r="A150" s="7" t="s">
        <v>137</v>
      </c>
      <c r="B150" s="8"/>
    </row>
    <row r="151" customFormat="false" ht="15" hidden="false" customHeight="false" outlineLevel="0" collapsed="false">
      <c r="A151" s="7" t="s">
        <v>138</v>
      </c>
      <c r="B151" s="8"/>
    </row>
  </sheetData>
  <printOptions headings="false" gridLines="false" gridLinesSet="true" horizontalCentered="false" verticalCentered="false"/>
  <pageMargins left="0.6" right="0.6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"/>
    <col collapsed="false" customWidth="true" hidden="false" outlineLevel="0" max="3" min="3" style="11" width="24"/>
    <col collapsed="false" customWidth="true" hidden="false" outlineLevel="0" max="4" min="4" style="11" width="18"/>
    <col collapsed="false" customWidth="true" hidden="false" outlineLevel="0" max="5" min="5" style="11" width="34"/>
    <col collapsed="false" customWidth="true" hidden="false" outlineLevel="0" max="6" min="6" style="11" width="18"/>
    <col collapsed="false" customWidth="true" hidden="false" outlineLevel="0" max="7" min="7" style="11" width="6"/>
    <col collapsed="false" customWidth="true" hidden="false" outlineLevel="0" max="8" min="8" style="11" width="36"/>
    <col collapsed="false" customWidth="true" hidden="false" outlineLevel="0" max="9" min="9" style="11" width="13"/>
    <col collapsed="false" customWidth="true" hidden="false" outlineLevel="0" max="10" min="10" style="11" width="62"/>
  </cols>
  <sheetData>
    <row r="1" customFormat="false" ht="19.5" hidden="false" customHeight="true" outlineLevel="0" collapsed="false">
      <c r="A1" s="12" t="s">
        <v>139</v>
      </c>
    </row>
    <row r="2" customFormat="false" ht="15" hidden="false" customHeight="true" outlineLevel="0" collapsed="false">
      <c r="A2" s="13" t="str">
        <f aca="false">"Built from 4 shelf photos: "&amp;SUM(G5:G116)&amp;" bottles across "&amp;COUNTA(D5:D116)&amp;" products. Each bottle is counted once, even where photos overlap."</f>
        <v>Built from 4 shelf photos: 114 bottles across 112 products. Each bottle is counted once, even where photos overlap.</v>
      </c>
    </row>
    <row r="4" customFormat="false" ht="19.5" hidden="false" customHeight="true" outlineLevel="0" collapsed="false">
      <c r="A4" s="14" t="s">
        <v>140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14" t="s">
        <v>146</v>
      </c>
      <c r="H4" s="3" t="s">
        <v>147</v>
      </c>
      <c r="I4" s="3" t="s">
        <v>148</v>
      </c>
      <c r="J4" s="3" t="s">
        <v>149</v>
      </c>
    </row>
    <row r="5" customFormat="false" ht="15" hidden="false" customHeight="true" outlineLevel="0" collapsed="false">
      <c r="A5" s="15" t="n">
        <v>1</v>
      </c>
      <c r="B5" s="16" t="s">
        <v>150</v>
      </c>
      <c r="C5" s="17" t="s">
        <v>150</v>
      </c>
      <c r="D5" s="17" t="s">
        <v>151</v>
      </c>
      <c r="E5" s="17" t="s">
        <v>152</v>
      </c>
      <c r="F5" s="17" t="s">
        <v>153</v>
      </c>
      <c r="G5" s="15" t="n">
        <v>1</v>
      </c>
      <c r="H5" s="17" t="s">
        <v>154</v>
      </c>
      <c r="I5" s="15" t="s">
        <v>155</v>
      </c>
      <c r="J5" s="18" t="s">
        <v>156</v>
      </c>
    </row>
    <row r="6" customFormat="false" ht="15" hidden="false" customHeight="true" outlineLevel="0" collapsed="false">
      <c r="A6" s="15" t="n">
        <v>2</v>
      </c>
      <c r="B6" s="16" t="s">
        <v>150</v>
      </c>
      <c r="C6" s="17" t="s">
        <v>150</v>
      </c>
      <c r="D6" s="17" t="s">
        <v>6</v>
      </c>
      <c r="E6" s="17" t="s">
        <v>150</v>
      </c>
      <c r="F6" s="17" t="s">
        <v>157</v>
      </c>
      <c r="G6" s="15" t="n">
        <v>1</v>
      </c>
      <c r="H6" s="17" t="s">
        <v>154</v>
      </c>
      <c r="I6" s="15" t="s">
        <v>158</v>
      </c>
      <c r="J6" s="18"/>
    </row>
    <row r="7" customFormat="false" ht="15" hidden="false" customHeight="true" outlineLevel="0" collapsed="false">
      <c r="A7" s="15" t="n">
        <v>3</v>
      </c>
      <c r="B7" s="16" t="s">
        <v>150</v>
      </c>
      <c r="C7" s="17" t="s">
        <v>150</v>
      </c>
      <c r="D7" s="17" t="s">
        <v>7</v>
      </c>
      <c r="E7" s="17" t="s">
        <v>150</v>
      </c>
      <c r="F7" s="17" t="s">
        <v>159</v>
      </c>
      <c r="G7" s="15" t="n">
        <v>1</v>
      </c>
      <c r="H7" s="17" t="s">
        <v>154</v>
      </c>
      <c r="I7" s="15" t="s">
        <v>158</v>
      </c>
      <c r="J7" s="18"/>
    </row>
    <row r="8" customFormat="false" ht="15" hidden="false" customHeight="true" outlineLevel="0" collapsed="false">
      <c r="A8" s="15" t="n">
        <v>4</v>
      </c>
      <c r="B8" s="16" t="s">
        <v>150</v>
      </c>
      <c r="C8" s="17" t="s">
        <v>150</v>
      </c>
      <c r="D8" s="17" t="s">
        <v>8</v>
      </c>
      <c r="E8" s="17" t="s">
        <v>160</v>
      </c>
      <c r="F8" s="17" t="s">
        <v>161</v>
      </c>
      <c r="G8" s="15" t="n">
        <v>1</v>
      </c>
      <c r="H8" s="17" t="s">
        <v>154</v>
      </c>
      <c r="I8" s="15" t="s">
        <v>162</v>
      </c>
      <c r="J8" s="18" t="s">
        <v>163</v>
      </c>
    </row>
    <row r="9" customFormat="false" ht="15" hidden="false" customHeight="true" outlineLevel="0" collapsed="false">
      <c r="A9" s="19" t="n">
        <v>5</v>
      </c>
      <c r="B9" s="20" t="s">
        <v>164</v>
      </c>
      <c r="C9" s="21" t="s">
        <v>165</v>
      </c>
      <c r="D9" s="21" t="s">
        <v>10</v>
      </c>
      <c r="E9" s="21" t="s">
        <v>166</v>
      </c>
      <c r="F9" s="21" t="s">
        <v>167</v>
      </c>
      <c r="G9" s="19" t="n">
        <v>1</v>
      </c>
      <c r="H9" s="21" t="s">
        <v>168</v>
      </c>
      <c r="I9" s="19" t="s">
        <v>155</v>
      </c>
      <c r="J9" s="22" t="s">
        <v>169</v>
      </c>
    </row>
    <row r="10" customFormat="false" ht="15" hidden="false" customHeight="true" outlineLevel="0" collapsed="false">
      <c r="A10" s="19" t="n">
        <v>6</v>
      </c>
      <c r="B10" s="20" t="s">
        <v>164</v>
      </c>
      <c r="C10" s="21" t="s">
        <v>170</v>
      </c>
      <c r="D10" s="21" t="s">
        <v>11</v>
      </c>
      <c r="E10" s="21" t="s">
        <v>171</v>
      </c>
      <c r="F10" s="21" t="s">
        <v>172</v>
      </c>
      <c r="G10" s="19" t="n">
        <v>1</v>
      </c>
      <c r="H10" s="21" t="s">
        <v>154</v>
      </c>
      <c r="I10" s="19" t="s">
        <v>158</v>
      </c>
      <c r="J10" s="22"/>
    </row>
    <row r="11" customFormat="false" ht="15" hidden="false" customHeight="true" outlineLevel="0" collapsed="false">
      <c r="A11" s="19" t="n">
        <v>7</v>
      </c>
      <c r="B11" s="20" t="s">
        <v>164</v>
      </c>
      <c r="C11" s="21" t="s">
        <v>173</v>
      </c>
      <c r="D11" s="21" t="s">
        <v>174</v>
      </c>
      <c r="E11" s="21" t="s">
        <v>175</v>
      </c>
      <c r="F11" s="21" t="s">
        <v>176</v>
      </c>
      <c r="G11" s="19" t="n">
        <v>1</v>
      </c>
      <c r="H11" s="21" t="s">
        <v>154</v>
      </c>
      <c r="I11" s="19" t="s">
        <v>158</v>
      </c>
      <c r="J11" s="22"/>
    </row>
    <row r="12" customFormat="false" ht="15" hidden="false" customHeight="true" outlineLevel="0" collapsed="false">
      <c r="A12" s="19" t="n">
        <v>8</v>
      </c>
      <c r="B12" s="20" t="s">
        <v>164</v>
      </c>
      <c r="C12" s="21" t="s">
        <v>177</v>
      </c>
      <c r="D12" s="21" t="s">
        <v>13</v>
      </c>
      <c r="E12" s="21" t="s">
        <v>164</v>
      </c>
      <c r="F12" s="21" t="s">
        <v>172</v>
      </c>
      <c r="G12" s="19" t="n">
        <v>1</v>
      </c>
      <c r="H12" s="21" t="s">
        <v>178</v>
      </c>
      <c r="I12" s="19" t="s">
        <v>158</v>
      </c>
      <c r="J12" s="22"/>
    </row>
    <row r="13" customFormat="false" ht="15" hidden="false" customHeight="true" outlineLevel="0" collapsed="false">
      <c r="A13" s="19" t="n">
        <v>9</v>
      </c>
      <c r="B13" s="20" t="s">
        <v>164</v>
      </c>
      <c r="C13" s="21" t="s">
        <v>179</v>
      </c>
      <c r="D13" s="21" t="s">
        <v>14</v>
      </c>
      <c r="E13" s="21" t="s">
        <v>180</v>
      </c>
      <c r="F13" s="21" t="s">
        <v>181</v>
      </c>
      <c r="G13" s="19" t="n">
        <v>1</v>
      </c>
      <c r="H13" s="21" t="s">
        <v>154</v>
      </c>
      <c r="I13" s="19" t="s">
        <v>158</v>
      </c>
      <c r="J13" s="22" t="s">
        <v>182</v>
      </c>
    </row>
    <row r="14" customFormat="false" ht="15" hidden="false" customHeight="true" outlineLevel="0" collapsed="false">
      <c r="A14" s="19" t="n">
        <v>10</v>
      </c>
      <c r="B14" s="20" t="s">
        <v>164</v>
      </c>
      <c r="C14" s="21" t="s">
        <v>165</v>
      </c>
      <c r="D14" s="21" t="s">
        <v>183</v>
      </c>
      <c r="E14" s="21" t="s">
        <v>166</v>
      </c>
      <c r="F14" s="21" t="s">
        <v>167</v>
      </c>
      <c r="G14" s="19" t="n">
        <v>1</v>
      </c>
      <c r="H14" s="21" t="s">
        <v>154</v>
      </c>
      <c r="I14" s="19" t="s">
        <v>158</v>
      </c>
      <c r="J14" s="22"/>
    </row>
    <row r="15" customFormat="false" ht="15" hidden="false" customHeight="true" outlineLevel="0" collapsed="false">
      <c r="A15" s="19" t="n">
        <v>11</v>
      </c>
      <c r="B15" s="20" t="s">
        <v>164</v>
      </c>
      <c r="C15" s="21" t="s">
        <v>165</v>
      </c>
      <c r="D15" s="21" t="s">
        <v>16</v>
      </c>
      <c r="E15" s="21" t="s">
        <v>166</v>
      </c>
      <c r="F15" s="21" t="s">
        <v>172</v>
      </c>
      <c r="G15" s="19" t="n">
        <v>1</v>
      </c>
      <c r="H15" s="21" t="s">
        <v>154</v>
      </c>
      <c r="I15" s="19" t="s">
        <v>158</v>
      </c>
      <c r="J15" s="22"/>
    </row>
    <row r="16" customFormat="false" ht="15" hidden="false" customHeight="true" outlineLevel="0" collapsed="false">
      <c r="A16" s="15" t="n">
        <v>12</v>
      </c>
      <c r="B16" s="16" t="s">
        <v>184</v>
      </c>
      <c r="C16" s="17" t="s">
        <v>185</v>
      </c>
      <c r="D16" s="17" t="s">
        <v>186</v>
      </c>
      <c r="E16" s="17" t="s">
        <v>187</v>
      </c>
      <c r="F16" s="17" t="s">
        <v>188</v>
      </c>
      <c r="G16" s="15" t="n">
        <v>1</v>
      </c>
      <c r="H16" s="17" t="s">
        <v>189</v>
      </c>
      <c r="I16" s="15" t="s">
        <v>158</v>
      </c>
      <c r="J16" s="18"/>
    </row>
    <row r="17" customFormat="false" ht="15" hidden="false" customHeight="true" outlineLevel="0" collapsed="false">
      <c r="A17" s="19" t="n">
        <v>13</v>
      </c>
      <c r="B17" s="20" t="s">
        <v>190</v>
      </c>
      <c r="C17" s="21" t="s">
        <v>20</v>
      </c>
      <c r="D17" s="21" t="s">
        <v>191</v>
      </c>
      <c r="E17" s="21" t="s">
        <v>20</v>
      </c>
      <c r="F17" s="21" t="s">
        <v>192</v>
      </c>
      <c r="G17" s="19" t="n">
        <v>1</v>
      </c>
      <c r="H17" s="21" t="s">
        <v>193</v>
      </c>
      <c r="I17" s="19" t="s">
        <v>158</v>
      </c>
      <c r="J17" s="22"/>
    </row>
    <row r="18" customFormat="false" ht="23.25" hidden="false" customHeight="true" outlineLevel="0" collapsed="false">
      <c r="A18" s="19" t="n">
        <v>14</v>
      </c>
      <c r="B18" s="20" t="s">
        <v>190</v>
      </c>
      <c r="C18" s="21" t="s">
        <v>20</v>
      </c>
      <c r="D18" s="21" t="s">
        <v>194</v>
      </c>
      <c r="E18" s="21" t="s">
        <v>195</v>
      </c>
      <c r="F18" s="21" t="s">
        <v>192</v>
      </c>
      <c r="G18" s="19" t="n">
        <v>1</v>
      </c>
      <c r="H18" s="21" t="s">
        <v>196</v>
      </c>
      <c r="I18" s="19" t="s">
        <v>155</v>
      </c>
      <c r="J18" s="22" t="s">
        <v>197</v>
      </c>
    </row>
    <row r="19" customFormat="false" ht="15" hidden="false" customHeight="true" outlineLevel="0" collapsed="false">
      <c r="A19" s="19" t="n">
        <v>15</v>
      </c>
      <c r="B19" s="20" t="s">
        <v>190</v>
      </c>
      <c r="C19" s="21" t="s">
        <v>20</v>
      </c>
      <c r="D19" s="21" t="s">
        <v>198</v>
      </c>
      <c r="E19" s="21" t="s">
        <v>20</v>
      </c>
      <c r="F19" s="21" t="s">
        <v>192</v>
      </c>
      <c r="G19" s="19" t="n">
        <v>1</v>
      </c>
      <c r="H19" s="21" t="s">
        <v>199</v>
      </c>
      <c r="I19" s="19" t="s">
        <v>158</v>
      </c>
      <c r="J19" s="22"/>
    </row>
    <row r="20" customFormat="false" ht="15" hidden="false" customHeight="true" outlineLevel="0" collapsed="false">
      <c r="A20" s="19" t="n">
        <v>16</v>
      </c>
      <c r="B20" s="20" t="s">
        <v>190</v>
      </c>
      <c r="C20" s="21" t="s">
        <v>20</v>
      </c>
      <c r="D20" s="21" t="s">
        <v>200</v>
      </c>
      <c r="E20" s="21" t="s">
        <v>20</v>
      </c>
      <c r="F20" s="21" t="s">
        <v>192</v>
      </c>
      <c r="G20" s="19" t="n">
        <v>1</v>
      </c>
      <c r="H20" s="21" t="s">
        <v>193</v>
      </c>
      <c r="I20" s="19" t="s">
        <v>158</v>
      </c>
      <c r="J20" s="22"/>
    </row>
    <row r="21" customFormat="false" ht="15" hidden="false" customHeight="true" outlineLevel="0" collapsed="false">
      <c r="A21" s="19" t="n">
        <v>17</v>
      </c>
      <c r="B21" s="20" t="s">
        <v>190</v>
      </c>
      <c r="C21" s="21" t="s">
        <v>20</v>
      </c>
      <c r="D21" s="21" t="s">
        <v>201</v>
      </c>
      <c r="E21" s="21" t="s">
        <v>202</v>
      </c>
      <c r="F21" s="21" t="s">
        <v>192</v>
      </c>
      <c r="G21" s="19" t="n">
        <v>1</v>
      </c>
      <c r="H21" s="21" t="s">
        <v>203</v>
      </c>
      <c r="I21" s="19" t="s">
        <v>158</v>
      </c>
      <c r="J21" s="22"/>
    </row>
    <row r="22" customFormat="false" ht="15" hidden="false" customHeight="true" outlineLevel="0" collapsed="false">
      <c r="A22" s="19" t="n">
        <v>18</v>
      </c>
      <c r="B22" s="20" t="s">
        <v>190</v>
      </c>
      <c r="C22" s="21" t="s">
        <v>20</v>
      </c>
      <c r="D22" s="21" t="s">
        <v>204</v>
      </c>
      <c r="E22" s="21" t="s">
        <v>205</v>
      </c>
      <c r="F22" s="21" t="s">
        <v>192</v>
      </c>
      <c r="G22" s="19" t="n">
        <v>1</v>
      </c>
      <c r="H22" s="21" t="s">
        <v>193</v>
      </c>
      <c r="I22" s="19" t="s">
        <v>158</v>
      </c>
      <c r="J22" s="22"/>
    </row>
    <row r="23" customFormat="false" ht="15" hidden="false" customHeight="true" outlineLevel="0" collapsed="false">
      <c r="A23" s="19" t="n">
        <v>19</v>
      </c>
      <c r="B23" s="20" t="s">
        <v>190</v>
      </c>
      <c r="C23" s="21" t="s">
        <v>20</v>
      </c>
      <c r="D23" s="21" t="s">
        <v>206</v>
      </c>
      <c r="E23" s="21" t="s">
        <v>20</v>
      </c>
      <c r="F23" s="21" t="s">
        <v>192</v>
      </c>
      <c r="G23" s="19" t="n">
        <v>1</v>
      </c>
      <c r="H23" s="21" t="s">
        <v>193</v>
      </c>
      <c r="I23" s="19" t="s">
        <v>158</v>
      </c>
      <c r="J23" s="22"/>
    </row>
    <row r="24" customFormat="false" ht="15" hidden="false" customHeight="true" outlineLevel="0" collapsed="false">
      <c r="A24" s="19" t="n">
        <v>20</v>
      </c>
      <c r="B24" s="20" t="s">
        <v>190</v>
      </c>
      <c r="C24" s="21" t="s">
        <v>20</v>
      </c>
      <c r="D24" s="21" t="s">
        <v>207</v>
      </c>
      <c r="E24" s="21" t="s">
        <v>20</v>
      </c>
      <c r="F24" s="21" t="s">
        <v>192</v>
      </c>
      <c r="G24" s="19" t="n">
        <v>1</v>
      </c>
      <c r="H24" s="21" t="s">
        <v>189</v>
      </c>
      <c r="I24" s="19" t="s">
        <v>155</v>
      </c>
      <c r="J24" s="22" t="s">
        <v>208</v>
      </c>
    </row>
    <row r="25" customFormat="false" ht="15" hidden="false" customHeight="true" outlineLevel="0" collapsed="false">
      <c r="A25" s="19" t="n">
        <v>21</v>
      </c>
      <c r="B25" s="20" t="s">
        <v>190</v>
      </c>
      <c r="C25" s="21" t="s">
        <v>20</v>
      </c>
      <c r="D25" s="21" t="s">
        <v>209</v>
      </c>
      <c r="E25" s="21" t="s">
        <v>20</v>
      </c>
      <c r="F25" s="21" t="s">
        <v>192</v>
      </c>
      <c r="G25" s="19" t="n">
        <v>1</v>
      </c>
      <c r="H25" s="21" t="s">
        <v>199</v>
      </c>
      <c r="I25" s="19" t="s">
        <v>158</v>
      </c>
      <c r="J25" s="22"/>
    </row>
    <row r="26" customFormat="false" ht="15" hidden="false" customHeight="true" outlineLevel="0" collapsed="false">
      <c r="A26" s="19" t="n">
        <v>22</v>
      </c>
      <c r="B26" s="20" t="s">
        <v>190</v>
      </c>
      <c r="C26" s="21" t="s">
        <v>20</v>
      </c>
      <c r="D26" s="21" t="s">
        <v>209</v>
      </c>
      <c r="E26" s="21" t="s">
        <v>210</v>
      </c>
      <c r="F26" s="21" t="s">
        <v>192</v>
      </c>
      <c r="G26" s="19" t="n">
        <v>1</v>
      </c>
      <c r="H26" s="21" t="s">
        <v>199</v>
      </c>
      <c r="I26" s="19" t="s">
        <v>158</v>
      </c>
      <c r="J26" s="22"/>
    </row>
    <row r="27" customFormat="false" ht="15" hidden="false" customHeight="true" outlineLevel="0" collapsed="false">
      <c r="A27" s="19" t="n">
        <v>23</v>
      </c>
      <c r="B27" s="20" t="s">
        <v>190</v>
      </c>
      <c r="C27" s="21" t="s">
        <v>20</v>
      </c>
      <c r="D27" s="21" t="s">
        <v>211</v>
      </c>
      <c r="E27" s="21" t="s">
        <v>205</v>
      </c>
      <c r="F27" s="21" t="s">
        <v>192</v>
      </c>
      <c r="G27" s="19" t="n">
        <v>1</v>
      </c>
      <c r="H27" s="21" t="s">
        <v>203</v>
      </c>
      <c r="I27" s="19" t="s">
        <v>162</v>
      </c>
      <c r="J27" s="22" t="s">
        <v>212</v>
      </c>
    </row>
    <row r="28" customFormat="false" ht="15" hidden="false" customHeight="true" outlineLevel="0" collapsed="false">
      <c r="A28" s="19" t="n">
        <v>24</v>
      </c>
      <c r="B28" s="20" t="s">
        <v>190</v>
      </c>
      <c r="C28" s="21" t="s">
        <v>20</v>
      </c>
      <c r="D28" s="21" t="s">
        <v>213</v>
      </c>
      <c r="E28" s="21" t="s">
        <v>20</v>
      </c>
      <c r="F28" s="21" t="s">
        <v>192</v>
      </c>
      <c r="G28" s="19" t="n">
        <v>1</v>
      </c>
      <c r="H28" s="21" t="s">
        <v>193</v>
      </c>
      <c r="I28" s="19" t="s">
        <v>158</v>
      </c>
      <c r="J28" s="22" t="s">
        <v>214</v>
      </c>
    </row>
    <row r="29" customFormat="false" ht="15" hidden="false" customHeight="true" outlineLevel="0" collapsed="false">
      <c r="A29" s="19" t="n">
        <v>25</v>
      </c>
      <c r="B29" s="20" t="s">
        <v>190</v>
      </c>
      <c r="C29" s="21" t="s">
        <v>20</v>
      </c>
      <c r="D29" s="21" t="s">
        <v>215</v>
      </c>
      <c r="E29" s="21" t="s">
        <v>20</v>
      </c>
      <c r="F29" s="21" t="s">
        <v>192</v>
      </c>
      <c r="G29" s="19" t="n">
        <v>1</v>
      </c>
      <c r="H29" s="21" t="s">
        <v>193</v>
      </c>
      <c r="I29" s="19" t="s">
        <v>158</v>
      </c>
      <c r="J29" s="22"/>
    </row>
    <row r="30" customFormat="false" ht="15" hidden="false" customHeight="true" outlineLevel="0" collapsed="false">
      <c r="A30" s="19" t="n">
        <v>26</v>
      </c>
      <c r="B30" s="20" t="s">
        <v>190</v>
      </c>
      <c r="C30" s="21" t="s">
        <v>20</v>
      </c>
      <c r="D30" s="21" t="s">
        <v>216</v>
      </c>
      <c r="E30" s="21" t="s">
        <v>20</v>
      </c>
      <c r="F30" s="21" t="s">
        <v>192</v>
      </c>
      <c r="G30" s="19" t="n">
        <v>1</v>
      </c>
      <c r="H30" s="21" t="s">
        <v>199</v>
      </c>
      <c r="I30" s="19" t="s">
        <v>158</v>
      </c>
      <c r="J30" s="22"/>
    </row>
    <row r="31" customFormat="false" ht="15" hidden="false" customHeight="true" outlineLevel="0" collapsed="false">
      <c r="A31" s="19" t="n">
        <v>27</v>
      </c>
      <c r="B31" s="20" t="s">
        <v>190</v>
      </c>
      <c r="C31" s="21" t="s">
        <v>20</v>
      </c>
      <c r="D31" s="21" t="s">
        <v>217</v>
      </c>
      <c r="E31" s="21" t="s">
        <v>218</v>
      </c>
      <c r="F31" s="21" t="s">
        <v>192</v>
      </c>
      <c r="G31" s="19" t="n">
        <v>1</v>
      </c>
      <c r="H31" s="21" t="s">
        <v>193</v>
      </c>
      <c r="I31" s="19" t="s">
        <v>158</v>
      </c>
      <c r="J31" s="22"/>
    </row>
    <row r="32" customFormat="false" ht="15" hidden="false" customHeight="true" outlineLevel="0" collapsed="false">
      <c r="A32" s="19" t="n">
        <v>28</v>
      </c>
      <c r="B32" s="20" t="s">
        <v>190</v>
      </c>
      <c r="C32" s="21" t="s">
        <v>20</v>
      </c>
      <c r="D32" s="21" t="s">
        <v>219</v>
      </c>
      <c r="E32" s="21" t="s">
        <v>20</v>
      </c>
      <c r="F32" s="21" t="s">
        <v>192</v>
      </c>
      <c r="G32" s="19" t="n">
        <v>1</v>
      </c>
      <c r="H32" s="21" t="s">
        <v>193</v>
      </c>
      <c r="I32" s="19" t="s">
        <v>158</v>
      </c>
      <c r="J32" s="22"/>
    </row>
    <row r="33" customFormat="false" ht="15" hidden="false" customHeight="true" outlineLevel="0" collapsed="false">
      <c r="A33" s="19" t="n">
        <v>29</v>
      </c>
      <c r="B33" s="20" t="s">
        <v>190</v>
      </c>
      <c r="C33" s="21" t="s">
        <v>20</v>
      </c>
      <c r="D33" s="21" t="s">
        <v>220</v>
      </c>
      <c r="E33" s="21" t="s">
        <v>195</v>
      </c>
      <c r="F33" s="21" t="s">
        <v>192</v>
      </c>
      <c r="G33" s="19" t="n">
        <v>1</v>
      </c>
      <c r="H33" s="21" t="s">
        <v>199</v>
      </c>
      <c r="I33" s="19" t="s">
        <v>158</v>
      </c>
      <c r="J33" s="22"/>
    </row>
    <row r="34" customFormat="false" ht="15" hidden="false" customHeight="true" outlineLevel="0" collapsed="false">
      <c r="A34" s="19" t="n">
        <v>30</v>
      </c>
      <c r="B34" s="20" t="s">
        <v>190</v>
      </c>
      <c r="C34" s="21" t="s">
        <v>38</v>
      </c>
      <c r="D34" s="21" t="s">
        <v>194</v>
      </c>
      <c r="E34" s="21" t="s">
        <v>221</v>
      </c>
      <c r="F34" s="21" t="s">
        <v>192</v>
      </c>
      <c r="G34" s="19" t="n">
        <v>1</v>
      </c>
      <c r="H34" s="21" t="s">
        <v>222</v>
      </c>
      <c r="I34" s="19" t="s">
        <v>155</v>
      </c>
      <c r="J34" s="22" t="s">
        <v>223</v>
      </c>
    </row>
    <row r="35" customFormat="false" ht="15" hidden="false" customHeight="true" outlineLevel="0" collapsed="false">
      <c r="A35" s="19" t="n">
        <v>31</v>
      </c>
      <c r="B35" s="20" t="s">
        <v>190</v>
      </c>
      <c r="C35" s="21" t="s">
        <v>40</v>
      </c>
      <c r="D35" s="21" t="s">
        <v>191</v>
      </c>
      <c r="E35" s="21" t="s">
        <v>40</v>
      </c>
      <c r="F35" s="21" t="s">
        <v>192</v>
      </c>
      <c r="G35" s="19" t="n">
        <v>1</v>
      </c>
      <c r="H35" s="21" t="s">
        <v>193</v>
      </c>
      <c r="I35" s="19" t="s">
        <v>158</v>
      </c>
      <c r="J35" s="22"/>
    </row>
    <row r="36" customFormat="false" ht="15" hidden="false" customHeight="true" outlineLevel="0" collapsed="false">
      <c r="A36" s="19" t="n">
        <v>32</v>
      </c>
      <c r="B36" s="20" t="s">
        <v>190</v>
      </c>
      <c r="C36" s="21" t="s">
        <v>40</v>
      </c>
      <c r="D36" s="21" t="s">
        <v>194</v>
      </c>
      <c r="E36" s="21" t="s">
        <v>40</v>
      </c>
      <c r="F36" s="21" t="s">
        <v>192</v>
      </c>
      <c r="G36" s="19" t="n">
        <v>1</v>
      </c>
      <c r="H36" s="21" t="s">
        <v>222</v>
      </c>
      <c r="I36" s="19" t="s">
        <v>158</v>
      </c>
      <c r="J36" s="22" t="s">
        <v>224</v>
      </c>
    </row>
    <row r="37" customFormat="false" ht="15" hidden="false" customHeight="true" outlineLevel="0" collapsed="false">
      <c r="A37" s="19" t="n">
        <v>33</v>
      </c>
      <c r="B37" s="20" t="s">
        <v>190</v>
      </c>
      <c r="C37" s="21" t="s">
        <v>40</v>
      </c>
      <c r="D37" s="21" t="s">
        <v>200</v>
      </c>
      <c r="E37" s="21" t="s">
        <v>40</v>
      </c>
      <c r="F37" s="21" t="s">
        <v>192</v>
      </c>
      <c r="G37" s="19" t="n">
        <v>1</v>
      </c>
      <c r="H37" s="21" t="s">
        <v>193</v>
      </c>
      <c r="I37" s="19" t="s">
        <v>158</v>
      </c>
      <c r="J37" s="22"/>
    </row>
    <row r="38" customFormat="false" ht="15" hidden="false" customHeight="true" outlineLevel="0" collapsed="false">
      <c r="A38" s="19" t="n">
        <v>34</v>
      </c>
      <c r="B38" s="20" t="s">
        <v>190</v>
      </c>
      <c r="C38" s="21" t="s">
        <v>40</v>
      </c>
      <c r="D38" s="21" t="s">
        <v>201</v>
      </c>
      <c r="E38" s="21" t="s">
        <v>225</v>
      </c>
      <c r="F38" s="21" t="s">
        <v>192</v>
      </c>
      <c r="G38" s="19" t="n">
        <v>1</v>
      </c>
      <c r="H38" s="21" t="s">
        <v>203</v>
      </c>
      <c r="I38" s="19" t="s">
        <v>158</v>
      </c>
      <c r="J38" s="22"/>
    </row>
    <row r="39" customFormat="false" ht="15" hidden="false" customHeight="true" outlineLevel="0" collapsed="false">
      <c r="A39" s="19" t="n">
        <v>35</v>
      </c>
      <c r="B39" s="20" t="s">
        <v>190</v>
      </c>
      <c r="C39" s="21" t="s">
        <v>40</v>
      </c>
      <c r="D39" s="21" t="s">
        <v>204</v>
      </c>
      <c r="E39" s="21" t="s">
        <v>40</v>
      </c>
      <c r="F39" s="21" t="s">
        <v>192</v>
      </c>
      <c r="G39" s="19" t="n">
        <v>1</v>
      </c>
      <c r="H39" s="21" t="s">
        <v>193</v>
      </c>
      <c r="I39" s="19" t="s">
        <v>158</v>
      </c>
      <c r="J39" s="22"/>
    </row>
    <row r="40" customFormat="false" ht="15" hidden="false" customHeight="true" outlineLevel="0" collapsed="false">
      <c r="A40" s="19" t="n">
        <v>36</v>
      </c>
      <c r="B40" s="20" t="s">
        <v>190</v>
      </c>
      <c r="C40" s="21" t="s">
        <v>40</v>
      </c>
      <c r="D40" s="21" t="s">
        <v>206</v>
      </c>
      <c r="E40" s="21" t="s">
        <v>40</v>
      </c>
      <c r="F40" s="21" t="s">
        <v>192</v>
      </c>
      <c r="G40" s="19" t="n">
        <v>1</v>
      </c>
      <c r="H40" s="21" t="s">
        <v>193</v>
      </c>
      <c r="I40" s="19" t="s">
        <v>158</v>
      </c>
      <c r="J40" s="22"/>
    </row>
    <row r="41" customFormat="false" ht="15" hidden="false" customHeight="true" outlineLevel="0" collapsed="false">
      <c r="A41" s="19" t="n">
        <v>37</v>
      </c>
      <c r="B41" s="20" t="s">
        <v>190</v>
      </c>
      <c r="C41" s="21" t="s">
        <v>40</v>
      </c>
      <c r="D41" s="21" t="s">
        <v>213</v>
      </c>
      <c r="E41" s="21" t="s">
        <v>40</v>
      </c>
      <c r="F41" s="21" t="s">
        <v>192</v>
      </c>
      <c r="G41" s="19" t="n">
        <v>1</v>
      </c>
      <c r="H41" s="21" t="s">
        <v>193</v>
      </c>
      <c r="I41" s="19" t="s">
        <v>158</v>
      </c>
      <c r="J41" s="22" t="s">
        <v>214</v>
      </c>
    </row>
    <row r="42" customFormat="false" ht="15" hidden="false" customHeight="true" outlineLevel="0" collapsed="false">
      <c r="A42" s="19" t="n">
        <v>38</v>
      </c>
      <c r="B42" s="20" t="s">
        <v>190</v>
      </c>
      <c r="C42" s="21" t="s">
        <v>40</v>
      </c>
      <c r="D42" s="21" t="s">
        <v>215</v>
      </c>
      <c r="E42" s="21" t="s">
        <v>40</v>
      </c>
      <c r="F42" s="21" t="s">
        <v>192</v>
      </c>
      <c r="G42" s="19" t="n">
        <v>1</v>
      </c>
      <c r="H42" s="21" t="s">
        <v>193</v>
      </c>
      <c r="I42" s="19" t="s">
        <v>158</v>
      </c>
      <c r="J42" s="22"/>
    </row>
    <row r="43" customFormat="false" ht="15" hidden="false" customHeight="true" outlineLevel="0" collapsed="false">
      <c r="A43" s="19" t="n">
        <v>39</v>
      </c>
      <c r="B43" s="20" t="s">
        <v>190</v>
      </c>
      <c r="C43" s="21" t="s">
        <v>40</v>
      </c>
      <c r="D43" s="21" t="s">
        <v>216</v>
      </c>
      <c r="E43" s="21" t="s">
        <v>40</v>
      </c>
      <c r="F43" s="21" t="s">
        <v>192</v>
      </c>
      <c r="G43" s="19" t="n">
        <v>1</v>
      </c>
      <c r="H43" s="21" t="s">
        <v>199</v>
      </c>
      <c r="I43" s="19" t="s">
        <v>158</v>
      </c>
      <c r="J43" s="22"/>
    </row>
    <row r="44" customFormat="false" ht="15" hidden="false" customHeight="true" outlineLevel="0" collapsed="false">
      <c r="A44" s="19" t="n">
        <v>40</v>
      </c>
      <c r="B44" s="20" t="s">
        <v>190</v>
      </c>
      <c r="C44" s="21" t="s">
        <v>40</v>
      </c>
      <c r="D44" s="21" t="s">
        <v>217</v>
      </c>
      <c r="E44" s="21" t="s">
        <v>40</v>
      </c>
      <c r="F44" s="21" t="s">
        <v>192</v>
      </c>
      <c r="G44" s="19" t="n">
        <v>1</v>
      </c>
      <c r="H44" s="21" t="s">
        <v>193</v>
      </c>
      <c r="I44" s="19" t="s">
        <v>155</v>
      </c>
      <c r="J44" s="22" t="s">
        <v>226</v>
      </c>
    </row>
    <row r="45" customFormat="false" ht="15" hidden="false" customHeight="true" outlineLevel="0" collapsed="false">
      <c r="A45" s="19" t="n">
        <v>41</v>
      </c>
      <c r="B45" s="20" t="s">
        <v>190</v>
      </c>
      <c r="C45" s="21" t="s">
        <v>40</v>
      </c>
      <c r="D45" s="21" t="s">
        <v>220</v>
      </c>
      <c r="E45" s="21" t="s">
        <v>40</v>
      </c>
      <c r="F45" s="21" t="s">
        <v>192</v>
      </c>
      <c r="G45" s="19" t="n">
        <v>1</v>
      </c>
      <c r="H45" s="21" t="s">
        <v>199</v>
      </c>
      <c r="I45" s="19" t="s">
        <v>158</v>
      </c>
      <c r="J45" s="22"/>
    </row>
    <row r="46" customFormat="false" ht="15" hidden="false" customHeight="true" outlineLevel="0" collapsed="false">
      <c r="A46" s="19" t="n">
        <v>42</v>
      </c>
      <c r="B46" s="20" t="s">
        <v>190</v>
      </c>
      <c r="C46" s="21" t="s">
        <v>52</v>
      </c>
      <c r="D46" s="21" t="s">
        <v>227</v>
      </c>
      <c r="E46" s="21" t="s">
        <v>228</v>
      </c>
      <c r="F46" s="21" t="s">
        <v>192</v>
      </c>
      <c r="G46" s="19" t="n">
        <v>1</v>
      </c>
      <c r="H46" s="21" t="s">
        <v>193</v>
      </c>
      <c r="I46" s="19" t="s">
        <v>158</v>
      </c>
      <c r="J46" s="22"/>
    </row>
    <row r="47" customFormat="false" ht="15" hidden="false" customHeight="true" outlineLevel="0" collapsed="false">
      <c r="A47" s="19" t="n">
        <v>43</v>
      </c>
      <c r="B47" s="20" t="s">
        <v>190</v>
      </c>
      <c r="C47" s="21" t="s">
        <v>52</v>
      </c>
      <c r="D47" s="21" t="s">
        <v>198</v>
      </c>
      <c r="E47" s="21" t="s">
        <v>52</v>
      </c>
      <c r="F47" s="21" t="s">
        <v>192</v>
      </c>
      <c r="G47" s="19" t="n">
        <v>1</v>
      </c>
      <c r="H47" s="21" t="s">
        <v>199</v>
      </c>
      <c r="I47" s="19" t="s">
        <v>158</v>
      </c>
      <c r="J47" s="22"/>
    </row>
    <row r="48" customFormat="false" ht="15" hidden="false" customHeight="true" outlineLevel="0" collapsed="false">
      <c r="A48" s="19" t="n">
        <v>44</v>
      </c>
      <c r="B48" s="20" t="s">
        <v>190</v>
      </c>
      <c r="C48" s="21" t="s">
        <v>52</v>
      </c>
      <c r="D48" s="21" t="s">
        <v>200</v>
      </c>
      <c r="E48" s="21" t="s">
        <v>229</v>
      </c>
      <c r="F48" s="21" t="s">
        <v>192</v>
      </c>
      <c r="G48" s="19" t="n">
        <v>1</v>
      </c>
      <c r="H48" s="21" t="s">
        <v>230</v>
      </c>
      <c r="I48" s="19" t="s">
        <v>158</v>
      </c>
      <c r="J48" s="22"/>
    </row>
    <row r="49" customFormat="false" ht="15" hidden="false" customHeight="true" outlineLevel="0" collapsed="false">
      <c r="A49" s="19" t="n">
        <v>45</v>
      </c>
      <c r="B49" s="20" t="s">
        <v>190</v>
      </c>
      <c r="C49" s="21" t="s">
        <v>52</v>
      </c>
      <c r="D49" s="21" t="s">
        <v>200</v>
      </c>
      <c r="E49" s="21" t="s">
        <v>52</v>
      </c>
      <c r="F49" s="21" t="s">
        <v>192</v>
      </c>
      <c r="G49" s="19" t="n">
        <v>1</v>
      </c>
      <c r="H49" s="21" t="s">
        <v>193</v>
      </c>
      <c r="I49" s="19" t="s">
        <v>158</v>
      </c>
      <c r="J49" s="22"/>
    </row>
    <row r="50" customFormat="false" ht="15" hidden="false" customHeight="true" outlineLevel="0" collapsed="false">
      <c r="A50" s="19" t="n">
        <v>46</v>
      </c>
      <c r="B50" s="20" t="s">
        <v>190</v>
      </c>
      <c r="C50" s="21" t="s">
        <v>52</v>
      </c>
      <c r="D50" s="21" t="s">
        <v>204</v>
      </c>
      <c r="E50" s="21" t="s">
        <v>231</v>
      </c>
      <c r="F50" s="21" t="s">
        <v>192</v>
      </c>
      <c r="G50" s="19" t="n">
        <v>1</v>
      </c>
      <c r="H50" s="21" t="s">
        <v>193</v>
      </c>
      <c r="I50" s="19" t="s">
        <v>158</v>
      </c>
      <c r="J50" s="22"/>
    </row>
    <row r="51" customFormat="false" ht="15" hidden="false" customHeight="true" outlineLevel="0" collapsed="false">
      <c r="A51" s="19" t="n">
        <v>47</v>
      </c>
      <c r="B51" s="20" t="s">
        <v>190</v>
      </c>
      <c r="C51" s="21" t="s">
        <v>52</v>
      </c>
      <c r="D51" s="21" t="s">
        <v>206</v>
      </c>
      <c r="E51" s="21" t="s">
        <v>52</v>
      </c>
      <c r="F51" s="21" t="s">
        <v>192</v>
      </c>
      <c r="G51" s="19" t="n">
        <v>1</v>
      </c>
      <c r="H51" s="21" t="s">
        <v>193</v>
      </c>
      <c r="I51" s="19" t="s">
        <v>158</v>
      </c>
      <c r="J51" s="22"/>
    </row>
    <row r="52" customFormat="false" ht="15" hidden="false" customHeight="true" outlineLevel="0" collapsed="false">
      <c r="A52" s="19" t="n">
        <v>48</v>
      </c>
      <c r="B52" s="20" t="s">
        <v>190</v>
      </c>
      <c r="C52" s="21" t="s">
        <v>52</v>
      </c>
      <c r="D52" s="21" t="s">
        <v>216</v>
      </c>
      <c r="E52" s="21" t="s">
        <v>231</v>
      </c>
      <c r="F52" s="21" t="s">
        <v>192</v>
      </c>
      <c r="G52" s="19" t="n">
        <v>1</v>
      </c>
      <c r="H52" s="21" t="s">
        <v>199</v>
      </c>
      <c r="I52" s="19" t="s">
        <v>158</v>
      </c>
      <c r="J52" s="22" t="s">
        <v>232</v>
      </c>
    </row>
    <row r="53" customFormat="false" ht="15" hidden="false" customHeight="true" outlineLevel="0" collapsed="false">
      <c r="A53" s="19" t="n">
        <v>49</v>
      </c>
      <c r="B53" s="20" t="s">
        <v>190</v>
      </c>
      <c r="C53" s="21" t="s">
        <v>52</v>
      </c>
      <c r="D53" s="21" t="s">
        <v>220</v>
      </c>
      <c r="E53" s="21" t="s">
        <v>52</v>
      </c>
      <c r="F53" s="21" t="s">
        <v>192</v>
      </c>
      <c r="G53" s="19" t="n">
        <v>1</v>
      </c>
      <c r="H53" s="21" t="s">
        <v>199</v>
      </c>
      <c r="I53" s="19" t="s">
        <v>158</v>
      </c>
      <c r="J53" s="22"/>
    </row>
    <row r="54" customFormat="false" ht="15" hidden="false" customHeight="true" outlineLevel="0" collapsed="false">
      <c r="A54" s="19" t="n">
        <v>50</v>
      </c>
      <c r="B54" s="20" t="s">
        <v>190</v>
      </c>
      <c r="C54" s="21" t="s">
        <v>233</v>
      </c>
      <c r="D54" s="21" t="s">
        <v>201</v>
      </c>
      <c r="E54" s="21" t="s">
        <v>234</v>
      </c>
      <c r="F54" s="21" t="s">
        <v>192</v>
      </c>
      <c r="G54" s="19" t="n">
        <v>1</v>
      </c>
      <c r="H54" s="21" t="s">
        <v>203</v>
      </c>
      <c r="I54" s="19" t="s">
        <v>158</v>
      </c>
      <c r="J54" s="22"/>
    </row>
    <row r="55" customFormat="false" ht="15" hidden="false" customHeight="true" outlineLevel="0" collapsed="false">
      <c r="A55" s="19" t="n">
        <v>51</v>
      </c>
      <c r="B55" s="20" t="s">
        <v>190</v>
      </c>
      <c r="C55" s="21" t="s">
        <v>233</v>
      </c>
      <c r="D55" s="21" t="s">
        <v>235</v>
      </c>
      <c r="E55" s="21" t="s">
        <v>236</v>
      </c>
      <c r="F55" s="21" t="s">
        <v>192</v>
      </c>
      <c r="G55" s="19" t="n">
        <v>1</v>
      </c>
      <c r="H55" s="21" t="s">
        <v>203</v>
      </c>
      <c r="I55" s="19" t="s">
        <v>158</v>
      </c>
      <c r="J55" s="22" t="s">
        <v>237</v>
      </c>
    </row>
    <row r="56" customFormat="false" ht="15" hidden="false" customHeight="true" outlineLevel="0" collapsed="false">
      <c r="A56" s="19" t="n">
        <v>52</v>
      </c>
      <c r="B56" s="20" t="s">
        <v>190</v>
      </c>
      <c r="C56" s="21" t="s">
        <v>233</v>
      </c>
      <c r="D56" s="21" t="s">
        <v>219</v>
      </c>
      <c r="E56" s="21" t="s">
        <v>238</v>
      </c>
      <c r="F56" s="21" t="s">
        <v>192</v>
      </c>
      <c r="G56" s="19" t="n">
        <v>1</v>
      </c>
      <c r="H56" s="21" t="s">
        <v>203</v>
      </c>
      <c r="I56" s="19" t="s">
        <v>155</v>
      </c>
      <c r="J56" s="22" t="s">
        <v>239</v>
      </c>
    </row>
    <row r="57" customFormat="false" ht="15" hidden="false" customHeight="true" outlineLevel="0" collapsed="false">
      <c r="A57" s="19" t="n">
        <v>53</v>
      </c>
      <c r="B57" s="20" t="s">
        <v>190</v>
      </c>
      <c r="C57" s="21" t="s">
        <v>240</v>
      </c>
      <c r="D57" s="21" t="s">
        <v>217</v>
      </c>
      <c r="E57" s="21" t="s">
        <v>241</v>
      </c>
      <c r="F57" s="21" t="s">
        <v>192</v>
      </c>
      <c r="G57" s="19" t="n">
        <v>1</v>
      </c>
      <c r="H57" s="21" t="s">
        <v>203</v>
      </c>
      <c r="I57" s="19" t="s">
        <v>158</v>
      </c>
      <c r="J57" s="22" t="s">
        <v>242</v>
      </c>
    </row>
    <row r="58" customFormat="false" ht="23.25" hidden="false" customHeight="true" outlineLevel="0" collapsed="false">
      <c r="A58" s="19" t="n">
        <v>54</v>
      </c>
      <c r="B58" s="20" t="s">
        <v>190</v>
      </c>
      <c r="C58" s="21" t="s">
        <v>243</v>
      </c>
      <c r="D58" s="21" t="s">
        <v>194</v>
      </c>
      <c r="E58" s="21" t="s">
        <v>244</v>
      </c>
      <c r="F58" s="21" t="s">
        <v>192</v>
      </c>
      <c r="G58" s="19" t="n">
        <v>1</v>
      </c>
      <c r="H58" s="21" t="s">
        <v>196</v>
      </c>
      <c r="I58" s="19" t="s">
        <v>162</v>
      </c>
      <c r="J58" s="22" t="s">
        <v>245</v>
      </c>
    </row>
    <row r="59" customFormat="false" ht="15" hidden="false" customHeight="true" outlineLevel="0" collapsed="false">
      <c r="A59" s="19" t="n">
        <v>55</v>
      </c>
      <c r="B59" s="20" t="s">
        <v>190</v>
      </c>
      <c r="C59" s="21" t="s">
        <v>243</v>
      </c>
      <c r="D59" s="21" t="s">
        <v>67</v>
      </c>
      <c r="E59" s="21" t="s">
        <v>246</v>
      </c>
      <c r="F59" s="21" t="s">
        <v>192</v>
      </c>
      <c r="G59" s="19" t="n">
        <v>1</v>
      </c>
      <c r="H59" s="21" t="s">
        <v>189</v>
      </c>
      <c r="I59" s="19" t="s">
        <v>155</v>
      </c>
      <c r="J59" s="22" t="s">
        <v>247</v>
      </c>
    </row>
    <row r="60" customFormat="false" ht="15" hidden="false" customHeight="true" outlineLevel="0" collapsed="false">
      <c r="A60" s="15" t="n">
        <v>56</v>
      </c>
      <c r="B60" s="16" t="s">
        <v>248</v>
      </c>
      <c r="C60" s="17" t="s">
        <v>249</v>
      </c>
      <c r="D60" s="17" t="s">
        <v>250</v>
      </c>
      <c r="E60" s="17" t="s">
        <v>38</v>
      </c>
      <c r="F60" s="17" t="s">
        <v>251</v>
      </c>
      <c r="G60" s="15" t="n">
        <v>1</v>
      </c>
      <c r="H60" s="17" t="s">
        <v>252</v>
      </c>
      <c r="I60" s="15" t="s">
        <v>158</v>
      </c>
      <c r="J60" s="18"/>
    </row>
    <row r="61" customFormat="false" ht="15" hidden="false" customHeight="true" outlineLevel="0" collapsed="false">
      <c r="A61" s="15" t="n">
        <v>57</v>
      </c>
      <c r="B61" s="16" t="s">
        <v>248</v>
      </c>
      <c r="C61" s="17" t="s">
        <v>249</v>
      </c>
      <c r="D61" s="17" t="s">
        <v>191</v>
      </c>
      <c r="E61" s="17" t="s">
        <v>253</v>
      </c>
      <c r="F61" s="17" t="s">
        <v>251</v>
      </c>
      <c r="G61" s="15" t="n">
        <v>1</v>
      </c>
      <c r="H61" s="17" t="s">
        <v>252</v>
      </c>
      <c r="I61" s="15" t="s">
        <v>158</v>
      </c>
      <c r="J61" s="18"/>
    </row>
    <row r="62" customFormat="false" ht="15" hidden="false" customHeight="true" outlineLevel="0" collapsed="false">
      <c r="A62" s="15" t="n">
        <v>58</v>
      </c>
      <c r="B62" s="16" t="s">
        <v>248</v>
      </c>
      <c r="C62" s="17" t="s">
        <v>254</v>
      </c>
      <c r="D62" s="17" t="s">
        <v>194</v>
      </c>
      <c r="E62" s="17" t="s">
        <v>255</v>
      </c>
      <c r="F62" s="17" t="s">
        <v>256</v>
      </c>
      <c r="G62" s="15" t="n">
        <v>1</v>
      </c>
      <c r="H62" s="17" t="s">
        <v>196</v>
      </c>
      <c r="I62" s="15" t="s">
        <v>155</v>
      </c>
      <c r="J62" s="18" t="s">
        <v>257</v>
      </c>
    </row>
    <row r="63" customFormat="false" ht="15" hidden="false" customHeight="true" outlineLevel="0" collapsed="false">
      <c r="A63" s="15" t="n">
        <v>59</v>
      </c>
      <c r="B63" s="16" t="s">
        <v>248</v>
      </c>
      <c r="C63" s="17" t="s">
        <v>249</v>
      </c>
      <c r="D63" s="17" t="s">
        <v>258</v>
      </c>
      <c r="E63" s="17" t="s">
        <v>259</v>
      </c>
      <c r="F63" s="17" t="s">
        <v>251</v>
      </c>
      <c r="G63" s="15" t="n">
        <v>1</v>
      </c>
      <c r="H63" s="17" t="s">
        <v>260</v>
      </c>
      <c r="I63" s="15" t="s">
        <v>158</v>
      </c>
      <c r="J63" s="18" t="s">
        <v>261</v>
      </c>
    </row>
    <row r="64" customFormat="false" ht="15" hidden="false" customHeight="true" outlineLevel="0" collapsed="false">
      <c r="A64" s="15" t="n">
        <v>60</v>
      </c>
      <c r="B64" s="16" t="s">
        <v>248</v>
      </c>
      <c r="C64" s="17" t="s">
        <v>249</v>
      </c>
      <c r="D64" s="17" t="s">
        <v>262</v>
      </c>
      <c r="E64" s="17" t="s">
        <v>38</v>
      </c>
      <c r="F64" s="17" t="s">
        <v>251</v>
      </c>
      <c r="G64" s="15" t="n">
        <v>1</v>
      </c>
      <c r="H64" s="17" t="s">
        <v>260</v>
      </c>
      <c r="I64" s="15" t="s">
        <v>158</v>
      </c>
      <c r="J64" s="18"/>
    </row>
    <row r="65" customFormat="false" ht="15" hidden="false" customHeight="true" outlineLevel="0" collapsed="false">
      <c r="A65" s="15" t="n">
        <v>61</v>
      </c>
      <c r="B65" s="16" t="s">
        <v>248</v>
      </c>
      <c r="C65" s="17" t="s">
        <v>263</v>
      </c>
      <c r="D65" s="17" t="s">
        <v>262</v>
      </c>
      <c r="E65" s="17" t="s">
        <v>264</v>
      </c>
      <c r="F65" s="17" t="s">
        <v>251</v>
      </c>
      <c r="G65" s="15" t="n">
        <v>1</v>
      </c>
      <c r="H65" s="17" t="s">
        <v>252</v>
      </c>
      <c r="I65" s="15" t="s">
        <v>158</v>
      </c>
      <c r="J65" s="18" t="s">
        <v>265</v>
      </c>
    </row>
    <row r="66" customFormat="false" ht="15" hidden="false" customHeight="true" outlineLevel="0" collapsed="false">
      <c r="A66" s="15" t="n">
        <v>62</v>
      </c>
      <c r="B66" s="16" t="s">
        <v>248</v>
      </c>
      <c r="C66" s="17" t="s">
        <v>249</v>
      </c>
      <c r="D66" s="17" t="s">
        <v>266</v>
      </c>
      <c r="E66" s="17" t="s">
        <v>267</v>
      </c>
      <c r="F66" s="17" t="s">
        <v>251</v>
      </c>
      <c r="G66" s="15" t="n">
        <v>1</v>
      </c>
      <c r="H66" s="17" t="s">
        <v>268</v>
      </c>
      <c r="I66" s="15" t="s">
        <v>158</v>
      </c>
      <c r="J66" s="18"/>
    </row>
    <row r="67" customFormat="false" ht="15" hidden="false" customHeight="true" outlineLevel="0" collapsed="false">
      <c r="A67" s="15" t="n">
        <v>63</v>
      </c>
      <c r="B67" s="16" t="s">
        <v>248</v>
      </c>
      <c r="C67" s="17" t="s">
        <v>249</v>
      </c>
      <c r="D67" s="17" t="s">
        <v>269</v>
      </c>
      <c r="E67" s="17" t="s">
        <v>38</v>
      </c>
      <c r="F67" s="17" t="s">
        <v>251</v>
      </c>
      <c r="G67" s="15" t="n">
        <v>1</v>
      </c>
      <c r="H67" s="17" t="s">
        <v>252</v>
      </c>
      <c r="I67" s="15" t="s">
        <v>158</v>
      </c>
      <c r="J67" s="18"/>
    </row>
    <row r="68" customFormat="false" ht="15" hidden="false" customHeight="true" outlineLevel="0" collapsed="false">
      <c r="A68" s="15" t="n">
        <v>64</v>
      </c>
      <c r="B68" s="16" t="s">
        <v>248</v>
      </c>
      <c r="C68" s="17" t="s">
        <v>249</v>
      </c>
      <c r="D68" s="17" t="s">
        <v>77</v>
      </c>
      <c r="E68" s="17" t="s">
        <v>38</v>
      </c>
      <c r="F68" s="17" t="s">
        <v>251</v>
      </c>
      <c r="G68" s="15" t="n">
        <v>1</v>
      </c>
      <c r="H68" s="17" t="s">
        <v>252</v>
      </c>
      <c r="I68" s="15" t="s">
        <v>158</v>
      </c>
      <c r="J68" s="18"/>
    </row>
    <row r="69" customFormat="false" ht="15" hidden="false" customHeight="true" outlineLevel="0" collapsed="false">
      <c r="A69" s="19" t="n">
        <v>65</v>
      </c>
      <c r="B69" s="20" t="s">
        <v>270</v>
      </c>
      <c r="C69" s="21" t="s">
        <v>271</v>
      </c>
      <c r="D69" s="21" t="s">
        <v>272</v>
      </c>
      <c r="E69" s="21" t="s">
        <v>273</v>
      </c>
      <c r="F69" s="21" t="s">
        <v>274</v>
      </c>
      <c r="G69" s="19" t="n">
        <v>1</v>
      </c>
      <c r="H69" s="21" t="s">
        <v>275</v>
      </c>
      <c r="I69" s="19" t="s">
        <v>158</v>
      </c>
      <c r="J69" s="22" t="s">
        <v>276</v>
      </c>
    </row>
    <row r="70" customFormat="false" ht="15" hidden="false" customHeight="true" outlineLevel="0" collapsed="false">
      <c r="A70" s="19" t="n">
        <v>66</v>
      </c>
      <c r="B70" s="20" t="s">
        <v>270</v>
      </c>
      <c r="C70" s="21" t="s">
        <v>277</v>
      </c>
      <c r="D70" s="21" t="s">
        <v>278</v>
      </c>
      <c r="E70" s="21" t="s">
        <v>279</v>
      </c>
      <c r="F70" s="21" t="s">
        <v>274</v>
      </c>
      <c r="G70" s="19" t="n">
        <v>1</v>
      </c>
      <c r="H70" s="21" t="s">
        <v>280</v>
      </c>
      <c r="I70" s="19" t="s">
        <v>158</v>
      </c>
      <c r="J70" s="22"/>
    </row>
    <row r="71" customFormat="false" ht="15" hidden="false" customHeight="true" outlineLevel="0" collapsed="false">
      <c r="A71" s="19" t="n">
        <v>67</v>
      </c>
      <c r="B71" s="20" t="s">
        <v>270</v>
      </c>
      <c r="C71" s="21" t="s">
        <v>277</v>
      </c>
      <c r="D71" s="21" t="s">
        <v>278</v>
      </c>
      <c r="E71" s="21" t="s">
        <v>281</v>
      </c>
      <c r="F71" s="21" t="s">
        <v>274</v>
      </c>
      <c r="G71" s="19" t="n">
        <v>1</v>
      </c>
      <c r="H71" s="21" t="s">
        <v>280</v>
      </c>
      <c r="I71" s="19" t="s">
        <v>158</v>
      </c>
      <c r="J71" s="22"/>
    </row>
    <row r="72" customFormat="false" ht="15" hidden="false" customHeight="true" outlineLevel="0" collapsed="false">
      <c r="A72" s="19" t="n">
        <v>68</v>
      </c>
      <c r="B72" s="20" t="s">
        <v>270</v>
      </c>
      <c r="C72" s="21" t="s">
        <v>277</v>
      </c>
      <c r="D72" s="21" t="s">
        <v>82</v>
      </c>
      <c r="E72" s="21" t="s">
        <v>282</v>
      </c>
      <c r="F72" s="21" t="s">
        <v>274</v>
      </c>
      <c r="G72" s="19" t="n">
        <v>1</v>
      </c>
      <c r="H72" s="21" t="s">
        <v>283</v>
      </c>
      <c r="I72" s="19" t="s">
        <v>158</v>
      </c>
      <c r="J72" s="22"/>
    </row>
    <row r="73" customFormat="false" ht="15" hidden="false" customHeight="true" outlineLevel="0" collapsed="false">
      <c r="A73" s="19" t="n">
        <v>69</v>
      </c>
      <c r="B73" s="20" t="s">
        <v>270</v>
      </c>
      <c r="C73" s="21" t="s">
        <v>277</v>
      </c>
      <c r="D73" s="21" t="s">
        <v>284</v>
      </c>
      <c r="E73" s="21" t="s">
        <v>270</v>
      </c>
      <c r="F73" s="21" t="s">
        <v>274</v>
      </c>
      <c r="G73" s="19" t="n">
        <v>1</v>
      </c>
      <c r="H73" s="21" t="s">
        <v>285</v>
      </c>
      <c r="I73" s="19" t="s">
        <v>158</v>
      </c>
      <c r="J73" s="22"/>
    </row>
    <row r="74" customFormat="false" ht="15" hidden="false" customHeight="true" outlineLevel="0" collapsed="false">
      <c r="A74" s="19" t="n">
        <v>70</v>
      </c>
      <c r="B74" s="20" t="s">
        <v>270</v>
      </c>
      <c r="C74" s="21" t="s">
        <v>277</v>
      </c>
      <c r="D74" s="21" t="s">
        <v>286</v>
      </c>
      <c r="E74" s="21" t="s">
        <v>279</v>
      </c>
      <c r="F74" s="21" t="s">
        <v>274</v>
      </c>
      <c r="G74" s="19" t="n">
        <v>1</v>
      </c>
      <c r="H74" s="21" t="s">
        <v>285</v>
      </c>
      <c r="I74" s="19" t="s">
        <v>158</v>
      </c>
      <c r="J74" s="22"/>
    </row>
    <row r="75" customFormat="false" ht="15" hidden="false" customHeight="true" outlineLevel="0" collapsed="false">
      <c r="A75" s="19" t="n">
        <v>71</v>
      </c>
      <c r="B75" s="20" t="s">
        <v>270</v>
      </c>
      <c r="C75" s="21" t="s">
        <v>287</v>
      </c>
      <c r="D75" s="21" t="s">
        <v>288</v>
      </c>
      <c r="E75" s="21" t="s">
        <v>289</v>
      </c>
      <c r="F75" s="21" t="s">
        <v>274</v>
      </c>
      <c r="G75" s="19" t="n">
        <v>1</v>
      </c>
      <c r="H75" s="21" t="s">
        <v>285</v>
      </c>
      <c r="I75" s="19" t="s">
        <v>158</v>
      </c>
      <c r="J75" s="22"/>
    </row>
    <row r="76" customFormat="false" ht="15" hidden="false" customHeight="true" outlineLevel="0" collapsed="false">
      <c r="A76" s="19" t="n">
        <v>72</v>
      </c>
      <c r="B76" s="20" t="s">
        <v>270</v>
      </c>
      <c r="C76" s="21" t="s">
        <v>277</v>
      </c>
      <c r="D76" s="21" t="s">
        <v>288</v>
      </c>
      <c r="E76" s="21" t="s">
        <v>290</v>
      </c>
      <c r="F76" s="21" t="s">
        <v>274</v>
      </c>
      <c r="G76" s="19" t="n">
        <v>1</v>
      </c>
      <c r="H76" s="21" t="s">
        <v>285</v>
      </c>
      <c r="I76" s="19" t="s">
        <v>158</v>
      </c>
      <c r="J76" s="22"/>
    </row>
    <row r="77" customFormat="false" ht="15" hidden="false" customHeight="true" outlineLevel="0" collapsed="false">
      <c r="A77" s="19" t="n">
        <v>73</v>
      </c>
      <c r="B77" s="20" t="s">
        <v>270</v>
      </c>
      <c r="C77" s="21" t="s">
        <v>291</v>
      </c>
      <c r="D77" s="21" t="s">
        <v>292</v>
      </c>
      <c r="E77" s="21" t="s">
        <v>293</v>
      </c>
      <c r="F77" s="21" t="s">
        <v>294</v>
      </c>
      <c r="G77" s="19" t="n">
        <v>1</v>
      </c>
      <c r="H77" s="21" t="s">
        <v>280</v>
      </c>
      <c r="I77" s="19" t="s">
        <v>158</v>
      </c>
      <c r="J77" s="22"/>
    </row>
    <row r="78" customFormat="false" ht="15" hidden="false" customHeight="true" outlineLevel="0" collapsed="false">
      <c r="A78" s="19" t="n">
        <v>74</v>
      </c>
      <c r="B78" s="20" t="s">
        <v>270</v>
      </c>
      <c r="C78" s="21" t="s">
        <v>295</v>
      </c>
      <c r="D78" s="21" t="s">
        <v>296</v>
      </c>
      <c r="E78" s="21" t="s">
        <v>297</v>
      </c>
      <c r="F78" s="21" t="s">
        <v>274</v>
      </c>
      <c r="G78" s="19" t="n">
        <v>2</v>
      </c>
      <c r="H78" s="21" t="s">
        <v>283</v>
      </c>
      <c r="I78" s="19" t="s">
        <v>155</v>
      </c>
      <c r="J78" s="22" t="s">
        <v>298</v>
      </c>
    </row>
    <row r="79" customFormat="false" ht="15" hidden="false" customHeight="true" outlineLevel="0" collapsed="false">
      <c r="A79" s="19" t="n">
        <v>75</v>
      </c>
      <c r="B79" s="20" t="s">
        <v>270</v>
      </c>
      <c r="C79" s="21" t="s">
        <v>277</v>
      </c>
      <c r="D79" s="21" t="s">
        <v>299</v>
      </c>
      <c r="E79" s="21" t="s">
        <v>300</v>
      </c>
      <c r="F79" s="21" t="s">
        <v>274</v>
      </c>
      <c r="G79" s="19" t="n">
        <v>1</v>
      </c>
      <c r="H79" s="21" t="s">
        <v>301</v>
      </c>
      <c r="I79" s="19" t="s">
        <v>158</v>
      </c>
      <c r="J79" s="22"/>
    </row>
    <row r="80" customFormat="false" ht="15" hidden="false" customHeight="true" outlineLevel="0" collapsed="false">
      <c r="A80" s="19" t="n">
        <v>76</v>
      </c>
      <c r="B80" s="20" t="s">
        <v>270</v>
      </c>
      <c r="C80" s="21" t="s">
        <v>302</v>
      </c>
      <c r="D80" s="21" t="s">
        <v>90</v>
      </c>
      <c r="E80" s="21" t="s">
        <v>270</v>
      </c>
      <c r="F80" s="21" t="s">
        <v>274</v>
      </c>
      <c r="G80" s="19" t="n">
        <v>1</v>
      </c>
      <c r="H80" s="21" t="s">
        <v>285</v>
      </c>
      <c r="I80" s="19" t="s">
        <v>158</v>
      </c>
      <c r="J80" s="22"/>
    </row>
    <row r="81" customFormat="false" ht="15" hidden="false" customHeight="true" outlineLevel="0" collapsed="false">
      <c r="A81" s="19" t="n">
        <v>77</v>
      </c>
      <c r="B81" s="20" t="s">
        <v>270</v>
      </c>
      <c r="C81" s="21" t="s">
        <v>277</v>
      </c>
      <c r="D81" s="21" t="s">
        <v>303</v>
      </c>
      <c r="E81" s="21" t="s">
        <v>304</v>
      </c>
      <c r="F81" s="21" t="s">
        <v>274</v>
      </c>
      <c r="G81" s="19" t="n">
        <v>1</v>
      </c>
      <c r="H81" s="21" t="s">
        <v>283</v>
      </c>
      <c r="I81" s="19" t="s">
        <v>158</v>
      </c>
      <c r="J81" s="22"/>
    </row>
    <row r="82" customFormat="false" ht="15" hidden="false" customHeight="true" outlineLevel="0" collapsed="false">
      <c r="A82" s="19" t="n">
        <v>78</v>
      </c>
      <c r="B82" s="20" t="s">
        <v>270</v>
      </c>
      <c r="C82" s="21" t="s">
        <v>302</v>
      </c>
      <c r="D82" s="21" t="s">
        <v>305</v>
      </c>
      <c r="E82" s="21" t="s">
        <v>306</v>
      </c>
      <c r="F82" s="21" t="s">
        <v>274</v>
      </c>
      <c r="G82" s="19" t="n">
        <v>1</v>
      </c>
      <c r="H82" s="21" t="s">
        <v>301</v>
      </c>
      <c r="I82" s="19" t="s">
        <v>158</v>
      </c>
      <c r="J82" s="22"/>
    </row>
    <row r="83" customFormat="false" ht="15" hidden="false" customHeight="true" outlineLevel="0" collapsed="false">
      <c r="A83" s="19" t="n">
        <v>79</v>
      </c>
      <c r="B83" s="20" t="s">
        <v>270</v>
      </c>
      <c r="C83" s="21" t="s">
        <v>302</v>
      </c>
      <c r="D83" s="21" t="s">
        <v>305</v>
      </c>
      <c r="E83" s="21" t="s">
        <v>307</v>
      </c>
      <c r="F83" s="21" t="s">
        <v>274</v>
      </c>
      <c r="G83" s="19" t="n">
        <v>1</v>
      </c>
      <c r="H83" s="21" t="s">
        <v>301</v>
      </c>
      <c r="I83" s="19" t="s">
        <v>158</v>
      </c>
      <c r="J83" s="22"/>
    </row>
    <row r="84" customFormat="false" ht="15" hidden="false" customHeight="true" outlineLevel="0" collapsed="false">
      <c r="A84" s="19" t="n">
        <v>80</v>
      </c>
      <c r="B84" s="20" t="s">
        <v>270</v>
      </c>
      <c r="C84" s="21" t="s">
        <v>277</v>
      </c>
      <c r="D84" s="21" t="s">
        <v>308</v>
      </c>
      <c r="E84" s="21" t="s">
        <v>309</v>
      </c>
      <c r="F84" s="21" t="s">
        <v>161</v>
      </c>
      <c r="G84" s="19" t="n">
        <v>1</v>
      </c>
      <c r="H84" s="21" t="s">
        <v>283</v>
      </c>
      <c r="I84" s="19" t="s">
        <v>155</v>
      </c>
      <c r="J84" s="22" t="s">
        <v>310</v>
      </c>
    </row>
    <row r="85" customFormat="false" ht="15" hidden="false" customHeight="true" outlineLevel="0" collapsed="false">
      <c r="A85" s="19" t="n">
        <v>81</v>
      </c>
      <c r="B85" s="20" t="s">
        <v>270</v>
      </c>
      <c r="C85" s="21" t="s">
        <v>291</v>
      </c>
      <c r="D85" s="21" t="s">
        <v>311</v>
      </c>
      <c r="E85" s="21" t="s">
        <v>279</v>
      </c>
      <c r="F85" s="21" t="s">
        <v>312</v>
      </c>
      <c r="G85" s="19" t="n">
        <v>1</v>
      </c>
      <c r="H85" s="21" t="s">
        <v>285</v>
      </c>
      <c r="I85" s="19" t="s">
        <v>158</v>
      </c>
      <c r="J85" s="22"/>
    </row>
    <row r="86" customFormat="false" ht="15" hidden="false" customHeight="true" outlineLevel="0" collapsed="false">
      <c r="A86" s="19" t="n">
        <v>82</v>
      </c>
      <c r="B86" s="20" t="s">
        <v>270</v>
      </c>
      <c r="C86" s="21" t="s">
        <v>277</v>
      </c>
      <c r="D86" s="21" t="s">
        <v>96</v>
      </c>
      <c r="E86" s="21" t="s">
        <v>282</v>
      </c>
      <c r="F86" s="21" t="s">
        <v>274</v>
      </c>
      <c r="G86" s="19" t="n">
        <v>1</v>
      </c>
      <c r="H86" s="21" t="s">
        <v>313</v>
      </c>
      <c r="I86" s="19" t="s">
        <v>158</v>
      </c>
      <c r="J86" s="22" t="s">
        <v>314</v>
      </c>
    </row>
    <row r="87" customFormat="false" ht="15" hidden="false" customHeight="true" outlineLevel="0" collapsed="false">
      <c r="A87" s="15" t="n">
        <v>83</v>
      </c>
      <c r="B87" s="16" t="s">
        <v>315</v>
      </c>
      <c r="C87" s="17" t="s">
        <v>316</v>
      </c>
      <c r="D87" s="17" t="s">
        <v>272</v>
      </c>
      <c r="E87" s="17" t="s">
        <v>317</v>
      </c>
      <c r="F87" s="17" t="s">
        <v>274</v>
      </c>
      <c r="G87" s="15" t="n">
        <v>1</v>
      </c>
      <c r="H87" s="17" t="s">
        <v>275</v>
      </c>
      <c r="I87" s="15" t="s">
        <v>158</v>
      </c>
      <c r="J87" s="18" t="s">
        <v>318</v>
      </c>
    </row>
    <row r="88" customFormat="false" ht="15" hidden="false" customHeight="true" outlineLevel="0" collapsed="false">
      <c r="A88" s="15" t="n">
        <v>84</v>
      </c>
      <c r="B88" s="16" t="s">
        <v>315</v>
      </c>
      <c r="C88" s="17" t="s">
        <v>319</v>
      </c>
      <c r="D88" s="17" t="s">
        <v>278</v>
      </c>
      <c r="E88" s="17" t="s">
        <v>320</v>
      </c>
      <c r="F88" s="17" t="s">
        <v>321</v>
      </c>
      <c r="G88" s="15" t="n">
        <v>1</v>
      </c>
      <c r="H88" s="17" t="s">
        <v>280</v>
      </c>
      <c r="I88" s="15" t="s">
        <v>158</v>
      </c>
      <c r="J88" s="18"/>
    </row>
    <row r="89" customFormat="false" ht="15" hidden="false" customHeight="true" outlineLevel="0" collapsed="false">
      <c r="A89" s="15" t="n">
        <v>85</v>
      </c>
      <c r="B89" s="16" t="s">
        <v>315</v>
      </c>
      <c r="C89" s="17" t="s">
        <v>322</v>
      </c>
      <c r="D89" s="17" t="s">
        <v>284</v>
      </c>
      <c r="E89" s="17" t="s">
        <v>323</v>
      </c>
      <c r="F89" s="17" t="s">
        <v>161</v>
      </c>
      <c r="G89" s="15" t="n">
        <v>1</v>
      </c>
      <c r="H89" s="17" t="s">
        <v>285</v>
      </c>
      <c r="I89" s="15" t="s">
        <v>158</v>
      </c>
      <c r="J89" s="18"/>
    </row>
    <row r="90" customFormat="false" ht="15" hidden="false" customHeight="true" outlineLevel="0" collapsed="false">
      <c r="A90" s="15" t="n">
        <v>86</v>
      </c>
      <c r="B90" s="16" t="s">
        <v>315</v>
      </c>
      <c r="C90" s="17" t="s">
        <v>324</v>
      </c>
      <c r="D90" s="17" t="s">
        <v>325</v>
      </c>
      <c r="E90" s="17" t="s">
        <v>326</v>
      </c>
      <c r="F90" s="17" t="s">
        <v>161</v>
      </c>
      <c r="G90" s="15" t="n">
        <v>1</v>
      </c>
      <c r="H90" s="17" t="s">
        <v>280</v>
      </c>
      <c r="I90" s="15" t="s">
        <v>158</v>
      </c>
      <c r="J90" s="18"/>
    </row>
    <row r="91" customFormat="false" ht="15" hidden="false" customHeight="true" outlineLevel="0" collapsed="false">
      <c r="A91" s="19" t="n">
        <v>87</v>
      </c>
      <c r="B91" s="20" t="s">
        <v>327</v>
      </c>
      <c r="C91" s="21" t="s">
        <v>328</v>
      </c>
      <c r="D91" s="21" t="s">
        <v>292</v>
      </c>
      <c r="E91" s="21" t="s">
        <v>329</v>
      </c>
      <c r="F91" s="21" t="s">
        <v>294</v>
      </c>
      <c r="G91" s="19" t="n">
        <v>1</v>
      </c>
      <c r="H91" s="21" t="s">
        <v>280</v>
      </c>
      <c r="I91" s="19" t="s">
        <v>158</v>
      </c>
      <c r="J91" s="22" t="s">
        <v>330</v>
      </c>
    </row>
    <row r="92" customFormat="false" ht="15" hidden="false" customHeight="true" outlineLevel="0" collapsed="false">
      <c r="A92" s="19" t="n">
        <v>88</v>
      </c>
      <c r="B92" s="20" t="s">
        <v>327</v>
      </c>
      <c r="C92" s="21" t="s">
        <v>328</v>
      </c>
      <c r="D92" s="21" t="s">
        <v>331</v>
      </c>
      <c r="E92" s="21" t="s">
        <v>332</v>
      </c>
      <c r="F92" s="21" t="s">
        <v>274</v>
      </c>
      <c r="G92" s="19" t="n">
        <v>1</v>
      </c>
      <c r="H92" s="21" t="s">
        <v>283</v>
      </c>
      <c r="I92" s="19" t="s">
        <v>158</v>
      </c>
      <c r="J92" s="22"/>
    </row>
    <row r="93" customFormat="false" ht="15" hidden="false" customHeight="true" outlineLevel="0" collapsed="false">
      <c r="A93" s="15" t="n">
        <v>89</v>
      </c>
      <c r="B93" s="16" t="s">
        <v>333</v>
      </c>
      <c r="C93" s="17" t="s">
        <v>126</v>
      </c>
      <c r="D93" s="17" t="s">
        <v>106</v>
      </c>
      <c r="E93" s="17" t="s">
        <v>333</v>
      </c>
      <c r="F93" s="17" t="s">
        <v>334</v>
      </c>
      <c r="G93" s="15" t="n">
        <v>1</v>
      </c>
      <c r="H93" s="17" t="s">
        <v>178</v>
      </c>
      <c r="I93" s="15" t="s">
        <v>158</v>
      </c>
      <c r="J93" s="18"/>
    </row>
    <row r="94" customFormat="false" ht="15" hidden="false" customHeight="true" outlineLevel="0" collapsed="false">
      <c r="A94" s="15" t="n">
        <v>90</v>
      </c>
      <c r="B94" s="16" t="s">
        <v>333</v>
      </c>
      <c r="C94" s="17" t="s">
        <v>126</v>
      </c>
      <c r="D94" s="17" t="s">
        <v>335</v>
      </c>
      <c r="E94" s="17" t="s">
        <v>290</v>
      </c>
      <c r="F94" s="17" t="s">
        <v>334</v>
      </c>
      <c r="G94" s="15" t="n">
        <v>1</v>
      </c>
      <c r="H94" s="17" t="s">
        <v>178</v>
      </c>
      <c r="I94" s="15" t="s">
        <v>158</v>
      </c>
      <c r="J94" s="18"/>
    </row>
    <row r="95" customFormat="false" ht="15" hidden="false" customHeight="true" outlineLevel="0" collapsed="false">
      <c r="A95" s="19" t="n">
        <v>91</v>
      </c>
      <c r="B95" s="20" t="s">
        <v>336</v>
      </c>
      <c r="C95" s="21" t="s">
        <v>337</v>
      </c>
      <c r="D95" s="21" t="s">
        <v>338</v>
      </c>
      <c r="E95" s="21" t="s">
        <v>339</v>
      </c>
      <c r="F95" s="21" t="s">
        <v>172</v>
      </c>
      <c r="G95" s="19" t="n">
        <v>1</v>
      </c>
      <c r="H95" s="21" t="s">
        <v>340</v>
      </c>
      <c r="I95" s="19" t="s">
        <v>158</v>
      </c>
      <c r="J95" s="22"/>
    </row>
    <row r="96" customFormat="false" ht="15" hidden="false" customHeight="true" outlineLevel="0" collapsed="false">
      <c r="A96" s="19" t="n">
        <v>92</v>
      </c>
      <c r="B96" s="20" t="s">
        <v>336</v>
      </c>
      <c r="C96" s="21" t="s">
        <v>337</v>
      </c>
      <c r="D96" s="21" t="s">
        <v>338</v>
      </c>
      <c r="E96" s="21" t="s">
        <v>341</v>
      </c>
      <c r="F96" s="21" t="s">
        <v>172</v>
      </c>
      <c r="G96" s="19" t="n">
        <v>1</v>
      </c>
      <c r="H96" s="21" t="s">
        <v>342</v>
      </c>
      <c r="I96" s="19" t="s">
        <v>158</v>
      </c>
      <c r="J96" s="22"/>
    </row>
    <row r="97" customFormat="false" ht="15" hidden="false" customHeight="true" outlineLevel="0" collapsed="false">
      <c r="A97" s="19" t="n">
        <v>93</v>
      </c>
      <c r="B97" s="20" t="s">
        <v>336</v>
      </c>
      <c r="C97" s="21" t="s">
        <v>337</v>
      </c>
      <c r="D97" s="21" t="s">
        <v>343</v>
      </c>
      <c r="E97" s="21" t="s">
        <v>306</v>
      </c>
      <c r="F97" s="21" t="s">
        <v>172</v>
      </c>
      <c r="G97" s="19" t="n">
        <v>1</v>
      </c>
      <c r="H97" s="21" t="s">
        <v>342</v>
      </c>
      <c r="I97" s="19" t="s">
        <v>158</v>
      </c>
      <c r="J97" s="22"/>
    </row>
    <row r="98" customFormat="false" ht="15" hidden="false" customHeight="true" outlineLevel="0" collapsed="false">
      <c r="A98" s="19" t="n">
        <v>94</v>
      </c>
      <c r="B98" s="20" t="s">
        <v>336</v>
      </c>
      <c r="C98" s="21" t="s">
        <v>337</v>
      </c>
      <c r="D98" s="21" t="s">
        <v>344</v>
      </c>
      <c r="E98" s="21" t="s">
        <v>306</v>
      </c>
      <c r="F98" s="21" t="s">
        <v>172</v>
      </c>
      <c r="G98" s="19" t="n">
        <v>1</v>
      </c>
      <c r="H98" s="21" t="s">
        <v>345</v>
      </c>
      <c r="I98" s="19" t="s">
        <v>158</v>
      </c>
      <c r="J98" s="22"/>
    </row>
    <row r="99" customFormat="false" ht="15" hidden="false" customHeight="true" outlineLevel="0" collapsed="false">
      <c r="A99" s="19" t="n">
        <v>95</v>
      </c>
      <c r="B99" s="20" t="s">
        <v>336</v>
      </c>
      <c r="C99" s="21" t="s">
        <v>337</v>
      </c>
      <c r="D99" s="21" t="s">
        <v>346</v>
      </c>
      <c r="E99" s="21" t="s">
        <v>347</v>
      </c>
      <c r="F99" s="21" t="s">
        <v>172</v>
      </c>
      <c r="G99" s="19" t="n">
        <v>1</v>
      </c>
      <c r="H99" s="21" t="s">
        <v>342</v>
      </c>
      <c r="I99" s="19" t="s">
        <v>158</v>
      </c>
      <c r="J99" s="22"/>
    </row>
    <row r="100" customFormat="false" ht="15" hidden="false" customHeight="true" outlineLevel="0" collapsed="false">
      <c r="A100" s="19" t="n">
        <v>96</v>
      </c>
      <c r="B100" s="20" t="s">
        <v>336</v>
      </c>
      <c r="C100" s="21" t="s">
        <v>337</v>
      </c>
      <c r="D100" s="21" t="s">
        <v>346</v>
      </c>
      <c r="E100" s="21" t="s">
        <v>348</v>
      </c>
      <c r="F100" s="21" t="s">
        <v>172</v>
      </c>
      <c r="G100" s="19" t="n">
        <v>1</v>
      </c>
      <c r="H100" s="21" t="s">
        <v>349</v>
      </c>
      <c r="I100" s="19" t="s">
        <v>158</v>
      </c>
      <c r="J100" s="22"/>
    </row>
    <row r="101" customFormat="false" ht="15" hidden="false" customHeight="true" outlineLevel="0" collapsed="false">
      <c r="A101" s="19" t="n">
        <v>97</v>
      </c>
      <c r="B101" s="20" t="s">
        <v>336</v>
      </c>
      <c r="C101" s="21" t="s">
        <v>350</v>
      </c>
      <c r="D101" s="21" t="s">
        <v>351</v>
      </c>
      <c r="E101" s="21" t="s">
        <v>352</v>
      </c>
      <c r="F101" s="21" t="s">
        <v>172</v>
      </c>
      <c r="G101" s="19" t="n">
        <v>1</v>
      </c>
      <c r="H101" s="21" t="s">
        <v>342</v>
      </c>
      <c r="I101" s="19" t="s">
        <v>158</v>
      </c>
      <c r="J101" s="22"/>
    </row>
    <row r="102" customFormat="false" ht="15" hidden="false" customHeight="true" outlineLevel="0" collapsed="false">
      <c r="A102" s="19" t="n">
        <v>98</v>
      </c>
      <c r="B102" s="20" t="s">
        <v>336</v>
      </c>
      <c r="C102" s="21" t="s">
        <v>350</v>
      </c>
      <c r="D102" s="21" t="s">
        <v>353</v>
      </c>
      <c r="E102" s="21" t="s">
        <v>354</v>
      </c>
      <c r="F102" s="21" t="s">
        <v>172</v>
      </c>
      <c r="G102" s="19" t="n">
        <v>1</v>
      </c>
      <c r="H102" s="21" t="s">
        <v>340</v>
      </c>
      <c r="I102" s="19" t="s">
        <v>158</v>
      </c>
      <c r="J102" s="22"/>
    </row>
    <row r="103" customFormat="false" ht="15" hidden="false" customHeight="true" outlineLevel="0" collapsed="false">
      <c r="A103" s="19" t="n">
        <v>99</v>
      </c>
      <c r="B103" s="20" t="s">
        <v>336</v>
      </c>
      <c r="C103" s="21" t="s">
        <v>355</v>
      </c>
      <c r="D103" s="21" t="s">
        <v>356</v>
      </c>
      <c r="E103" s="21" t="s">
        <v>357</v>
      </c>
      <c r="F103" s="21" t="s">
        <v>172</v>
      </c>
      <c r="G103" s="19" t="n">
        <v>1</v>
      </c>
      <c r="H103" s="21" t="s">
        <v>342</v>
      </c>
      <c r="I103" s="19" t="s">
        <v>158</v>
      </c>
      <c r="J103" s="22"/>
    </row>
    <row r="104" customFormat="false" ht="15" hidden="false" customHeight="true" outlineLevel="0" collapsed="false">
      <c r="A104" s="19" t="n">
        <v>100</v>
      </c>
      <c r="B104" s="20" t="s">
        <v>336</v>
      </c>
      <c r="C104" s="21" t="s">
        <v>358</v>
      </c>
      <c r="D104" s="21" t="s">
        <v>359</v>
      </c>
      <c r="E104" s="21" t="s">
        <v>360</v>
      </c>
      <c r="F104" s="21" t="s">
        <v>172</v>
      </c>
      <c r="G104" s="19" t="n">
        <v>1</v>
      </c>
      <c r="H104" s="21" t="s">
        <v>340</v>
      </c>
      <c r="I104" s="19" t="s">
        <v>158</v>
      </c>
      <c r="J104" s="22"/>
    </row>
    <row r="105" customFormat="false" ht="15" hidden="false" customHeight="true" outlineLevel="0" collapsed="false">
      <c r="A105" s="19" t="n">
        <v>101</v>
      </c>
      <c r="B105" s="20" t="s">
        <v>336</v>
      </c>
      <c r="C105" s="21" t="s">
        <v>358</v>
      </c>
      <c r="D105" s="21" t="s">
        <v>361</v>
      </c>
      <c r="E105" s="21" t="s">
        <v>279</v>
      </c>
      <c r="F105" s="21" t="s">
        <v>172</v>
      </c>
      <c r="G105" s="19" t="n">
        <v>1</v>
      </c>
      <c r="H105" s="21" t="s">
        <v>342</v>
      </c>
      <c r="I105" s="19" t="s">
        <v>158</v>
      </c>
      <c r="J105" s="22"/>
    </row>
    <row r="106" customFormat="false" ht="15" hidden="false" customHeight="true" outlineLevel="0" collapsed="false">
      <c r="A106" s="19" t="n">
        <v>102</v>
      </c>
      <c r="B106" s="20" t="s">
        <v>336</v>
      </c>
      <c r="C106" s="21" t="s">
        <v>362</v>
      </c>
      <c r="D106" s="21" t="s">
        <v>125</v>
      </c>
      <c r="E106" s="21" t="s">
        <v>363</v>
      </c>
      <c r="F106" s="21" t="s">
        <v>172</v>
      </c>
      <c r="G106" s="19" t="n">
        <v>1</v>
      </c>
      <c r="H106" s="21" t="s">
        <v>340</v>
      </c>
      <c r="I106" s="19" t="s">
        <v>155</v>
      </c>
      <c r="J106" s="22" t="s">
        <v>364</v>
      </c>
    </row>
    <row r="107" customFormat="false" ht="15" hidden="false" customHeight="true" outlineLevel="0" collapsed="false">
      <c r="A107" s="19" t="n">
        <v>103</v>
      </c>
      <c r="B107" s="20" t="s">
        <v>336</v>
      </c>
      <c r="C107" s="21" t="s">
        <v>126</v>
      </c>
      <c r="D107" s="21" t="s">
        <v>365</v>
      </c>
      <c r="E107" s="21" t="s">
        <v>366</v>
      </c>
      <c r="F107" s="21" t="s">
        <v>172</v>
      </c>
      <c r="G107" s="19" t="n">
        <v>1</v>
      </c>
      <c r="H107" s="21" t="s">
        <v>345</v>
      </c>
      <c r="I107" s="19" t="s">
        <v>158</v>
      </c>
      <c r="J107" s="22"/>
    </row>
    <row r="108" customFormat="false" ht="15" hidden="false" customHeight="true" outlineLevel="0" collapsed="false">
      <c r="A108" s="15" t="n">
        <v>104</v>
      </c>
      <c r="B108" s="16" t="s">
        <v>367</v>
      </c>
      <c r="C108" s="17" t="s">
        <v>368</v>
      </c>
      <c r="D108" s="17" t="s">
        <v>369</v>
      </c>
      <c r="E108" s="17" t="s">
        <v>306</v>
      </c>
      <c r="F108" s="17" t="s">
        <v>181</v>
      </c>
      <c r="G108" s="15" t="n">
        <v>1</v>
      </c>
      <c r="H108" s="17" t="s">
        <v>301</v>
      </c>
      <c r="I108" s="15" t="s">
        <v>158</v>
      </c>
      <c r="J108" s="18"/>
    </row>
    <row r="109" customFormat="false" ht="15" hidden="false" customHeight="true" outlineLevel="0" collapsed="false">
      <c r="A109" s="15" t="n">
        <v>105</v>
      </c>
      <c r="B109" s="16" t="s">
        <v>367</v>
      </c>
      <c r="C109" s="17" t="s">
        <v>126</v>
      </c>
      <c r="D109" s="17" t="s">
        <v>370</v>
      </c>
      <c r="E109" s="17" t="s">
        <v>371</v>
      </c>
      <c r="F109" s="17" t="s">
        <v>181</v>
      </c>
      <c r="G109" s="15" t="n">
        <v>1</v>
      </c>
      <c r="H109" s="17" t="s">
        <v>372</v>
      </c>
      <c r="I109" s="15" t="s">
        <v>158</v>
      </c>
      <c r="J109" s="18"/>
    </row>
    <row r="110" customFormat="false" ht="15" hidden="false" customHeight="true" outlineLevel="0" collapsed="false">
      <c r="A110" s="15" t="n">
        <v>106</v>
      </c>
      <c r="B110" s="16" t="s">
        <v>367</v>
      </c>
      <c r="C110" s="17" t="s">
        <v>373</v>
      </c>
      <c r="D110" s="17" t="s">
        <v>370</v>
      </c>
      <c r="E110" s="17" t="s">
        <v>290</v>
      </c>
      <c r="F110" s="17" t="s">
        <v>181</v>
      </c>
      <c r="G110" s="15" t="n">
        <v>2</v>
      </c>
      <c r="H110" s="17" t="s">
        <v>372</v>
      </c>
      <c r="I110" s="15" t="s">
        <v>158</v>
      </c>
      <c r="J110" s="18" t="s">
        <v>374</v>
      </c>
    </row>
    <row r="111" customFormat="false" ht="15" hidden="false" customHeight="true" outlineLevel="0" collapsed="false">
      <c r="A111" s="15" t="n">
        <v>107</v>
      </c>
      <c r="B111" s="16" t="s">
        <v>367</v>
      </c>
      <c r="C111" s="17" t="s">
        <v>126</v>
      </c>
      <c r="D111" s="17" t="s">
        <v>375</v>
      </c>
      <c r="E111" s="17" t="s">
        <v>376</v>
      </c>
      <c r="F111" s="17" t="s">
        <v>181</v>
      </c>
      <c r="G111" s="15" t="n">
        <v>1</v>
      </c>
      <c r="H111" s="17" t="s">
        <v>372</v>
      </c>
      <c r="I111" s="15" t="s">
        <v>155</v>
      </c>
      <c r="J111" s="18" t="s">
        <v>377</v>
      </c>
    </row>
    <row r="112" customFormat="false" ht="15" hidden="false" customHeight="true" outlineLevel="0" collapsed="false">
      <c r="A112" s="15" t="n">
        <v>108</v>
      </c>
      <c r="B112" s="16" t="s">
        <v>367</v>
      </c>
      <c r="C112" s="17" t="s">
        <v>378</v>
      </c>
      <c r="D112" s="17" t="s">
        <v>379</v>
      </c>
      <c r="E112" s="17" t="s">
        <v>380</v>
      </c>
      <c r="F112" s="17" t="s">
        <v>181</v>
      </c>
      <c r="G112" s="15" t="n">
        <v>1</v>
      </c>
      <c r="H112" s="17" t="s">
        <v>349</v>
      </c>
      <c r="I112" s="15" t="s">
        <v>158</v>
      </c>
      <c r="J112" s="18"/>
    </row>
    <row r="113" customFormat="false" ht="15" hidden="false" customHeight="true" outlineLevel="0" collapsed="false">
      <c r="A113" s="15" t="n">
        <v>109</v>
      </c>
      <c r="B113" s="16" t="s">
        <v>367</v>
      </c>
      <c r="C113" s="17" t="s">
        <v>126</v>
      </c>
      <c r="D113" s="17" t="s">
        <v>381</v>
      </c>
      <c r="E113" s="17" t="s">
        <v>134</v>
      </c>
      <c r="F113" s="17" t="s">
        <v>181</v>
      </c>
      <c r="G113" s="15" t="n">
        <v>1</v>
      </c>
      <c r="H113" s="17" t="s">
        <v>285</v>
      </c>
      <c r="I113" s="15" t="s">
        <v>158</v>
      </c>
      <c r="J113" s="18"/>
    </row>
    <row r="114" customFormat="false" ht="15" hidden="false" customHeight="true" outlineLevel="0" collapsed="false">
      <c r="A114" s="19" t="n">
        <v>110</v>
      </c>
      <c r="B114" s="20" t="s">
        <v>382</v>
      </c>
      <c r="C114" s="21" t="s">
        <v>383</v>
      </c>
      <c r="D114" s="21" t="s">
        <v>136</v>
      </c>
      <c r="E114" s="21" t="s">
        <v>383</v>
      </c>
      <c r="F114" s="21" t="s">
        <v>384</v>
      </c>
      <c r="G114" s="19" t="n">
        <v>1</v>
      </c>
      <c r="H114" s="21" t="s">
        <v>189</v>
      </c>
      <c r="I114" s="19" t="s">
        <v>155</v>
      </c>
      <c r="J114" s="22" t="s">
        <v>385</v>
      </c>
    </row>
    <row r="115" customFormat="false" ht="15" hidden="false" customHeight="true" outlineLevel="0" collapsed="false">
      <c r="A115" s="19" t="n">
        <v>111</v>
      </c>
      <c r="B115" s="20" t="s">
        <v>382</v>
      </c>
      <c r="C115" s="21" t="s">
        <v>386</v>
      </c>
      <c r="D115" s="21" t="s">
        <v>137</v>
      </c>
      <c r="E115" s="21" t="s">
        <v>387</v>
      </c>
      <c r="F115" s="21" t="s">
        <v>384</v>
      </c>
      <c r="G115" s="19" t="n">
        <v>1</v>
      </c>
      <c r="H115" s="21" t="s">
        <v>189</v>
      </c>
      <c r="I115" s="19" t="s">
        <v>158</v>
      </c>
      <c r="J115" s="22"/>
    </row>
    <row r="116" customFormat="false" ht="15" hidden="false" customHeight="true" outlineLevel="0" collapsed="false">
      <c r="A116" s="19" t="n">
        <v>112</v>
      </c>
      <c r="B116" s="20" t="s">
        <v>382</v>
      </c>
      <c r="C116" s="21" t="s">
        <v>388</v>
      </c>
      <c r="D116" s="21" t="s">
        <v>389</v>
      </c>
      <c r="E116" s="21" t="s">
        <v>390</v>
      </c>
      <c r="F116" s="21" t="s">
        <v>391</v>
      </c>
      <c r="G116" s="19" t="n">
        <v>1</v>
      </c>
      <c r="H116" s="21" t="s">
        <v>189</v>
      </c>
      <c r="I116" s="19" t="s">
        <v>158</v>
      </c>
      <c r="J116" s="22"/>
    </row>
  </sheetData>
  <autoFilter ref="A4:J116"/>
  <conditionalFormatting sqref="I5:I116">
    <cfRule type="expression" priority="2" aboveAverage="0" equalAverage="0" bottom="0" percent="0" rank="0" text="" dxfId="11">
      <formula>$I5="High"</formula>
    </cfRule>
    <cfRule type="expression" priority="3" aboveAverage="0" equalAverage="0" bottom="0" percent="0" rank="0" text="" dxfId="12">
      <formula>$I5="Medium"</formula>
    </cfRule>
    <cfRule type="expression" priority="4" aboveAverage="0" equalAverage="0" bottom="0" percent="0" rank="0" text="" dxfId="13">
      <formula>$I5="Low"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1" width="36"/>
    <col collapsed="false" customWidth="true" hidden="false" outlineLevel="0" max="3" min="2" style="11" width="14"/>
  </cols>
  <sheetData>
    <row r="1" customFormat="false" ht="19.5" hidden="false" customHeight="true" outlineLevel="0" collapsed="false">
      <c r="A1" s="12" t="s">
        <v>392</v>
      </c>
    </row>
    <row r="3" customFormat="false" ht="15" hidden="false" customHeight="true" outlineLevel="0" collapsed="false">
      <c r="A3" s="23" t="s">
        <v>393</v>
      </c>
    </row>
    <row r="4" customFormat="false" ht="15" hidden="false" customHeight="true" outlineLevel="0" collapsed="false">
      <c r="A4" s="3" t="s">
        <v>141</v>
      </c>
      <c r="B4" s="14" t="s">
        <v>394</v>
      </c>
      <c r="C4" s="14" t="s">
        <v>395</v>
      </c>
    </row>
    <row r="5" customFormat="false" ht="15" hidden="false" customHeight="true" outlineLevel="0" collapsed="false">
      <c r="A5" s="24" t="s">
        <v>150</v>
      </c>
      <c r="B5" s="25" t="n">
        <f aca="false">COUNTIF(Inventory!$B$5:$B$116,A5)</f>
        <v>4</v>
      </c>
      <c r="C5" s="25" t="n">
        <f aca="false">SUMIF(Inventory!$B$5:$B$116,A5,Inventory!$G$5:$G$116)</f>
        <v>4</v>
      </c>
    </row>
    <row r="6" customFormat="false" ht="15" hidden="false" customHeight="true" outlineLevel="0" collapsed="false">
      <c r="A6" s="24" t="s">
        <v>164</v>
      </c>
      <c r="B6" s="25" t="n">
        <f aca="false">COUNTIF(Inventory!$B$5:$B$116,A6)</f>
        <v>7</v>
      </c>
      <c r="C6" s="25" t="n">
        <f aca="false">SUMIF(Inventory!$B$5:$B$116,A6,Inventory!$G$5:$G$116)</f>
        <v>7</v>
      </c>
    </row>
    <row r="7" customFormat="false" ht="15" hidden="false" customHeight="true" outlineLevel="0" collapsed="false">
      <c r="A7" s="24" t="s">
        <v>184</v>
      </c>
      <c r="B7" s="25" t="n">
        <f aca="false">COUNTIF(Inventory!$B$5:$B$116,A7)</f>
        <v>1</v>
      </c>
      <c r="C7" s="25" t="n">
        <f aca="false">SUMIF(Inventory!$B$5:$B$116,A7,Inventory!$G$5:$G$116)</f>
        <v>1</v>
      </c>
    </row>
    <row r="8" customFormat="false" ht="15" hidden="false" customHeight="true" outlineLevel="0" collapsed="false">
      <c r="A8" s="24" t="s">
        <v>190</v>
      </c>
      <c r="B8" s="25" t="n">
        <f aca="false">COUNTIF(Inventory!$B$5:$B$116,A8)</f>
        <v>43</v>
      </c>
      <c r="C8" s="25" t="n">
        <f aca="false">SUMIF(Inventory!$B$5:$B$116,A8,Inventory!$G$5:$G$116)</f>
        <v>43</v>
      </c>
    </row>
    <row r="9" customFormat="false" ht="15" hidden="false" customHeight="true" outlineLevel="0" collapsed="false">
      <c r="A9" s="24" t="s">
        <v>248</v>
      </c>
      <c r="B9" s="25" t="n">
        <f aca="false">COUNTIF(Inventory!$B$5:$B$116,A9)</f>
        <v>9</v>
      </c>
      <c r="C9" s="25" t="n">
        <f aca="false">SUMIF(Inventory!$B$5:$B$116,A9,Inventory!$G$5:$G$116)</f>
        <v>9</v>
      </c>
    </row>
    <row r="10" customFormat="false" ht="15" hidden="false" customHeight="true" outlineLevel="0" collapsed="false">
      <c r="A10" s="24" t="s">
        <v>270</v>
      </c>
      <c r="B10" s="25" t="n">
        <f aca="false">COUNTIF(Inventory!$B$5:$B$116,A10)</f>
        <v>18</v>
      </c>
      <c r="C10" s="25" t="n">
        <f aca="false">SUMIF(Inventory!$B$5:$B$116,A10,Inventory!$G$5:$G$116)</f>
        <v>19</v>
      </c>
    </row>
    <row r="11" customFormat="false" ht="15" hidden="false" customHeight="true" outlineLevel="0" collapsed="false">
      <c r="A11" s="24" t="s">
        <v>315</v>
      </c>
      <c r="B11" s="25" t="n">
        <f aca="false">COUNTIF(Inventory!$B$5:$B$116,A11)</f>
        <v>4</v>
      </c>
      <c r="C11" s="25" t="n">
        <f aca="false">SUMIF(Inventory!$B$5:$B$116,A11,Inventory!$G$5:$G$116)</f>
        <v>4</v>
      </c>
    </row>
    <row r="12" customFormat="false" ht="15" hidden="false" customHeight="true" outlineLevel="0" collapsed="false">
      <c r="A12" s="24" t="s">
        <v>327</v>
      </c>
      <c r="B12" s="25" t="n">
        <f aca="false">COUNTIF(Inventory!$B$5:$B$116,A12)</f>
        <v>2</v>
      </c>
      <c r="C12" s="25" t="n">
        <f aca="false">SUMIF(Inventory!$B$5:$B$116,A12,Inventory!$G$5:$G$116)</f>
        <v>2</v>
      </c>
    </row>
    <row r="13" customFormat="false" ht="15" hidden="false" customHeight="true" outlineLevel="0" collapsed="false">
      <c r="A13" s="24" t="s">
        <v>333</v>
      </c>
      <c r="B13" s="25" t="n">
        <f aca="false">COUNTIF(Inventory!$B$5:$B$116,A13)</f>
        <v>2</v>
      </c>
      <c r="C13" s="25" t="n">
        <f aca="false">SUMIF(Inventory!$B$5:$B$116,A13,Inventory!$G$5:$G$116)</f>
        <v>2</v>
      </c>
    </row>
    <row r="14" customFormat="false" ht="15" hidden="false" customHeight="true" outlineLevel="0" collapsed="false">
      <c r="A14" s="24" t="s">
        <v>336</v>
      </c>
      <c r="B14" s="25" t="n">
        <f aca="false">COUNTIF(Inventory!$B$5:$B$116,A14)</f>
        <v>13</v>
      </c>
      <c r="C14" s="25" t="n">
        <f aca="false">SUMIF(Inventory!$B$5:$B$116,A14,Inventory!$G$5:$G$116)</f>
        <v>13</v>
      </c>
    </row>
    <row r="15" customFormat="false" ht="15" hidden="false" customHeight="true" outlineLevel="0" collapsed="false">
      <c r="A15" s="24" t="s">
        <v>367</v>
      </c>
      <c r="B15" s="25" t="n">
        <f aca="false">COUNTIF(Inventory!$B$5:$B$116,A15)</f>
        <v>6</v>
      </c>
      <c r="C15" s="25" t="n">
        <f aca="false">SUMIF(Inventory!$B$5:$B$116,A15,Inventory!$G$5:$G$116)</f>
        <v>7</v>
      </c>
    </row>
    <row r="16" customFormat="false" ht="15" hidden="false" customHeight="true" outlineLevel="0" collapsed="false">
      <c r="A16" s="24" t="s">
        <v>382</v>
      </c>
      <c r="B16" s="25" t="n">
        <f aca="false">COUNTIF(Inventory!$B$5:$B$116,A16)</f>
        <v>3</v>
      </c>
      <c r="C16" s="25" t="n">
        <f aca="false">SUMIF(Inventory!$B$5:$B$116,A16,Inventory!$G$5:$G$116)</f>
        <v>3</v>
      </c>
    </row>
    <row r="17" customFormat="false" ht="15" hidden="false" customHeight="true" outlineLevel="0" collapsed="false">
      <c r="A17" s="26" t="s">
        <v>396</v>
      </c>
      <c r="B17" s="27" t="n">
        <f aca="false">SUM(B5:B16)</f>
        <v>112</v>
      </c>
      <c r="C17" s="27" t="n">
        <f aca="false">SUM(C5:C16)</f>
        <v>114</v>
      </c>
    </row>
    <row r="18" customFormat="false" ht="15" hidden="false" customHeight="true" outlineLevel="0" collapsed="false">
      <c r="A18" s="24" t="s">
        <v>397</v>
      </c>
      <c r="B18" s="25"/>
      <c r="C18" s="25" t="n">
        <f aca="false">SUM(Unidentified!$D$5:$D$14)</f>
        <v>10</v>
      </c>
    </row>
    <row r="19" customFormat="false" ht="15" hidden="false" customHeight="true" outlineLevel="0" collapsed="false">
      <c r="A19" s="28" t="s">
        <v>398</v>
      </c>
      <c r="B19" s="29"/>
      <c r="C19" s="29" t="n">
        <f aca="false">C17+C18</f>
        <v>124</v>
      </c>
    </row>
    <row r="21" customFormat="false" ht="15" hidden="false" customHeight="true" outlineLevel="0" collapsed="false">
      <c r="A21" s="23" t="s">
        <v>399</v>
      </c>
    </row>
    <row r="22" customFormat="false" ht="15" hidden="false" customHeight="true" outlineLevel="0" collapsed="false">
      <c r="A22" s="3" t="s">
        <v>142</v>
      </c>
      <c r="B22" s="14" t="s">
        <v>394</v>
      </c>
      <c r="C22" s="14" t="s">
        <v>395</v>
      </c>
    </row>
    <row r="23" customFormat="false" ht="15" hidden="false" customHeight="true" outlineLevel="0" collapsed="false">
      <c r="A23" s="24" t="s">
        <v>20</v>
      </c>
      <c r="B23" s="25" t="n">
        <f aca="false">COUNTIFS(Inventory!$B$5:$B$116,"Tequila",Inventory!$C$5:$C$116,A23)</f>
        <v>17</v>
      </c>
      <c r="C23" s="25" t="n">
        <f aca="false">SUMIFS(Inventory!$G$5:$G$116,Inventory!$B$5:$B$116,"Tequila",Inventory!$C$5:$C$116,A23)</f>
        <v>17</v>
      </c>
    </row>
    <row r="24" customFormat="false" ht="15" hidden="false" customHeight="true" outlineLevel="0" collapsed="false">
      <c r="A24" s="24" t="s">
        <v>38</v>
      </c>
      <c r="B24" s="25" t="n">
        <f aca="false">COUNTIFS(Inventory!$B$5:$B$116,"Tequila",Inventory!$C$5:$C$116,A24)</f>
        <v>1</v>
      </c>
      <c r="C24" s="25" t="n">
        <f aca="false">SUMIFS(Inventory!$G$5:$G$116,Inventory!$B$5:$B$116,"Tequila",Inventory!$C$5:$C$116,A24)</f>
        <v>1</v>
      </c>
    </row>
    <row r="25" customFormat="false" ht="15" hidden="false" customHeight="true" outlineLevel="0" collapsed="false">
      <c r="A25" s="24" t="s">
        <v>40</v>
      </c>
      <c r="B25" s="25" t="n">
        <f aca="false">COUNTIFS(Inventory!$B$5:$B$116,"Tequila",Inventory!$C$5:$C$116,A25)</f>
        <v>11</v>
      </c>
      <c r="C25" s="25" t="n">
        <f aca="false">SUMIFS(Inventory!$G$5:$G$116,Inventory!$B$5:$B$116,"Tequila",Inventory!$C$5:$C$116,A25)</f>
        <v>11</v>
      </c>
    </row>
    <row r="26" customFormat="false" ht="15" hidden="false" customHeight="true" outlineLevel="0" collapsed="false">
      <c r="A26" s="24" t="s">
        <v>52</v>
      </c>
      <c r="B26" s="25" t="n">
        <f aca="false">COUNTIFS(Inventory!$B$5:$B$116,"Tequila",Inventory!$C$5:$C$116,A26)</f>
        <v>8</v>
      </c>
      <c r="C26" s="25" t="n">
        <f aca="false">SUMIFS(Inventory!$G$5:$G$116,Inventory!$B$5:$B$116,"Tequila",Inventory!$C$5:$C$116,A26)</f>
        <v>8</v>
      </c>
    </row>
    <row r="27" customFormat="false" ht="15" hidden="false" customHeight="true" outlineLevel="0" collapsed="false">
      <c r="A27" s="24" t="s">
        <v>233</v>
      </c>
      <c r="B27" s="25" t="n">
        <f aca="false">COUNTIFS(Inventory!$B$5:$B$116,"Tequila",Inventory!$C$5:$C$116,A27)</f>
        <v>3</v>
      </c>
      <c r="C27" s="25" t="n">
        <f aca="false">SUMIFS(Inventory!$G$5:$G$116,Inventory!$B$5:$B$116,"Tequila",Inventory!$C$5:$C$116,A27)</f>
        <v>3</v>
      </c>
    </row>
    <row r="28" customFormat="false" ht="15" hidden="false" customHeight="true" outlineLevel="0" collapsed="false">
      <c r="A28" s="24" t="s">
        <v>240</v>
      </c>
      <c r="B28" s="25" t="n">
        <f aca="false">COUNTIFS(Inventory!$B$5:$B$116,"Tequila",Inventory!$C$5:$C$116,A28)</f>
        <v>1</v>
      </c>
      <c r="C28" s="25" t="n">
        <f aca="false">SUMIFS(Inventory!$G$5:$G$116,Inventory!$B$5:$B$116,"Tequila",Inventory!$C$5:$C$116,A28)</f>
        <v>1</v>
      </c>
    </row>
    <row r="29" customFormat="false" ht="15" hidden="false" customHeight="true" outlineLevel="0" collapsed="false">
      <c r="A29" s="24" t="s">
        <v>243</v>
      </c>
      <c r="B29" s="25" t="n">
        <f aca="false">COUNTIFS(Inventory!$B$5:$B$116,"Tequila",Inventory!$C$5:$C$116,A29)</f>
        <v>2</v>
      </c>
      <c r="C29" s="25" t="n">
        <f aca="false">SUMIFS(Inventory!$G$5:$G$116,Inventory!$B$5:$B$116,"Tequila",Inventory!$C$5:$C$116,A29)</f>
        <v>2</v>
      </c>
    </row>
    <row r="31" customFormat="false" ht="15" hidden="false" customHeight="true" outlineLevel="0" collapsed="false">
      <c r="A31" s="23" t="s">
        <v>400</v>
      </c>
    </row>
    <row r="32" customFormat="false" ht="15" hidden="false" customHeight="true" outlineLevel="0" collapsed="false">
      <c r="A32" s="3" t="s">
        <v>148</v>
      </c>
      <c r="B32" s="14" t="s">
        <v>394</v>
      </c>
      <c r="C32" s="14" t="s">
        <v>395</v>
      </c>
    </row>
    <row r="33" customFormat="false" ht="15" hidden="false" customHeight="true" outlineLevel="0" collapsed="false">
      <c r="A33" s="24" t="s">
        <v>158</v>
      </c>
      <c r="B33" s="25" t="n">
        <f aca="false">COUNTIF(Inventory!$I$5:$I$116,A33)</f>
        <v>95</v>
      </c>
      <c r="C33" s="25" t="n">
        <f aca="false">SUMIF(Inventory!$I$5:$I$116,A33,Inventory!$G$5:$G$116)</f>
        <v>96</v>
      </c>
    </row>
    <row r="34" customFormat="false" ht="15" hidden="false" customHeight="true" outlineLevel="0" collapsed="false">
      <c r="A34" s="24" t="s">
        <v>155</v>
      </c>
      <c r="B34" s="25" t="n">
        <f aca="false">COUNTIF(Inventory!$I$5:$I$116,A34)</f>
        <v>14</v>
      </c>
      <c r="C34" s="25" t="n">
        <f aca="false">SUMIF(Inventory!$I$5:$I$116,A34,Inventory!$G$5:$G$116)</f>
        <v>15</v>
      </c>
    </row>
    <row r="35" customFormat="false" ht="15" hidden="false" customHeight="true" outlineLevel="0" collapsed="false">
      <c r="A35" s="24" t="s">
        <v>162</v>
      </c>
      <c r="B35" s="25" t="n">
        <f aca="false">COUNTIF(Inventory!$I$5:$I$116,A35)</f>
        <v>3</v>
      </c>
      <c r="C35" s="25" t="n">
        <f aca="false">SUMIF(Inventory!$I$5:$I$116,A35,Inventory!$G$5:$G$116)</f>
        <v>3</v>
      </c>
    </row>
    <row r="37" customFormat="false" ht="15" hidden="false" customHeight="true" outlineLevel="0" collapsed="false">
      <c r="A37" s="23" t="s">
        <v>401</v>
      </c>
    </row>
    <row r="38" customFormat="false" ht="28.5" hidden="false" customHeight="true" outlineLevel="0" collapsed="false">
      <c r="A38" s="30" t="s">
        <v>402</v>
      </c>
      <c r="B38" s="30"/>
      <c r="C38" s="30"/>
    </row>
    <row r="39" customFormat="false" ht="15" hidden="false" customHeight="true" outlineLevel="0" collapsed="false">
      <c r="A39" s="30" t="s">
        <v>403</v>
      </c>
      <c r="B39" s="30"/>
      <c r="C39" s="30"/>
    </row>
    <row r="40" customFormat="false" ht="15" hidden="false" customHeight="true" outlineLevel="0" collapsed="false">
      <c r="A40" s="30" t="s">
        <v>404</v>
      </c>
      <c r="B40" s="30"/>
      <c r="C40" s="30"/>
    </row>
    <row r="41" customFormat="false" ht="15" hidden="false" customHeight="true" outlineLevel="0" collapsed="false">
      <c r="A41" s="30" t="s">
        <v>405</v>
      </c>
      <c r="B41" s="30"/>
      <c r="C41" s="30"/>
    </row>
    <row r="42" customFormat="false" ht="28.5" hidden="false" customHeight="true" outlineLevel="0" collapsed="false">
      <c r="A42" s="30" t="s">
        <v>406</v>
      </c>
      <c r="B42" s="30"/>
      <c r="C42" s="30"/>
    </row>
    <row r="43" customFormat="false" ht="28.5" hidden="false" customHeight="true" outlineLevel="0" collapsed="false">
      <c r="A43" s="30" t="s">
        <v>407</v>
      </c>
      <c r="B43" s="30"/>
      <c r="C43" s="30"/>
    </row>
    <row r="44" customFormat="false" ht="28.5" hidden="false" customHeight="true" outlineLevel="0" collapsed="false">
      <c r="A44" s="30" t="s">
        <v>408</v>
      </c>
      <c r="B44" s="30"/>
      <c r="C44" s="30"/>
    </row>
    <row r="45" customFormat="false" ht="15" hidden="false" customHeight="true" outlineLevel="0" collapsed="false">
      <c r="A45" s="30" t="s">
        <v>409</v>
      </c>
      <c r="B45" s="30"/>
      <c r="C45" s="30"/>
    </row>
    <row r="46" customFormat="false" ht="28.5" hidden="false" customHeight="true" outlineLevel="0" collapsed="false">
      <c r="A46" s="30" t="s">
        <v>410</v>
      </c>
      <c r="B46" s="30"/>
      <c r="C46" s="30"/>
    </row>
    <row r="47" customFormat="false" ht="15" hidden="false" customHeight="true" outlineLevel="0" collapsed="false">
      <c r="A47" s="30" t="s">
        <v>411</v>
      </c>
      <c r="B47" s="30"/>
      <c r="C47" s="30"/>
    </row>
    <row r="48" customFormat="false" ht="28.5" hidden="false" customHeight="true" outlineLevel="0" collapsed="false">
      <c r="A48" s="30" t="s">
        <v>412</v>
      </c>
      <c r="B48" s="30"/>
      <c r="C48" s="30"/>
    </row>
    <row r="49" customFormat="false" ht="28.5" hidden="false" customHeight="true" outlineLevel="0" collapsed="false">
      <c r="A49" s="30" t="s">
        <v>413</v>
      </c>
      <c r="B49" s="30"/>
      <c r="C49" s="30"/>
    </row>
  </sheetData>
  <mergeCells count="12"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36"/>
    <col collapsed="false" customWidth="true" hidden="false" outlineLevel="0" max="3" min="3" style="11" width="80"/>
    <col collapsed="false" customWidth="true" hidden="false" outlineLevel="0" max="4" min="4" style="11" width="6"/>
    <col collapsed="false" customWidth="true" hidden="false" outlineLevel="0" max="5" min="5" style="11" width="34"/>
  </cols>
  <sheetData>
    <row r="1" customFormat="false" ht="19.5" hidden="false" customHeight="true" outlineLevel="0" collapsed="false">
      <c r="A1" s="12" t="s">
        <v>414</v>
      </c>
    </row>
    <row r="2" customFormat="false" ht="15" hidden="false" customHeight="true" outlineLevel="0" collapsed="false">
      <c r="A2" s="13" t="s">
        <v>415</v>
      </c>
    </row>
    <row r="4" customFormat="false" ht="15" hidden="false" customHeight="true" outlineLevel="0" collapsed="false">
      <c r="A4" s="14" t="s">
        <v>140</v>
      </c>
      <c r="B4" s="3" t="s">
        <v>147</v>
      </c>
      <c r="C4" s="3" t="s">
        <v>416</v>
      </c>
      <c r="D4" s="14" t="s">
        <v>146</v>
      </c>
      <c r="E4" s="3" t="s">
        <v>417</v>
      </c>
    </row>
    <row r="5" customFormat="false" ht="15" hidden="false" customHeight="true" outlineLevel="0" collapsed="false">
      <c r="A5" s="19" t="n">
        <v>1</v>
      </c>
      <c r="B5" s="22" t="s">
        <v>178</v>
      </c>
      <c r="C5" s="22" t="s">
        <v>418</v>
      </c>
      <c r="D5" s="19" t="n">
        <v>1</v>
      </c>
      <c r="E5" s="22"/>
    </row>
    <row r="6" customFormat="false" ht="15" hidden="false" customHeight="true" outlineLevel="0" collapsed="false">
      <c r="A6" s="19" t="n">
        <v>2</v>
      </c>
      <c r="B6" s="22" t="s">
        <v>283</v>
      </c>
      <c r="C6" s="22" t="s">
        <v>419</v>
      </c>
      <c r="D6" s="19" t="n">
        <v>2</v>
      </c>
      <c r="E6" s="22"/>
    </row>
    <row r="7" customFormat="false" ht="15" hidden="false" customHeight="true" outlineLevel="0" collapsed="false">
      <c r="A7" s="19" t="n">
        <v>3</v>
      </c>
      <c r="B7" s="22" t="s">
        <v>285</v>
      </c>
      <c r="C7" s="22" t="s">
        <v>420</v>
      </c>
      <c r="D7" s="19" t="n">
        <v>1</v>
      </c>
      <c r="E7" s="22"/>
    </row>
    <row r="8" customFormat="false" ht="15" hidden="false" customHeight="true" outlineLevel="0" collapsed="false">
      <c r="A8" s="19" t="n">
        <v>4</v>
      </c>
      <c r="B8" s="22" t="s">
        <v>283</v>
      </c>
      <c r="C8" s="22" t="s">
        <v>421</v>
      </c>
      <c r="D8" s="19" t="n">
        <v>1</v>
      </c>
      <c r="E8" s="22"/>
    </row>
    <row r="9" customFormat="false" ht="15" hidden="false" customHeight="true" outlineLevel="0" collapsed="false">
      <c r="A9" s="19" t="n">
        <v>5</v>
      </c>
      <c r="B9" s="22" t="s">
        <v>283</v>
      </c>
      <c r="C9" s="22" t="s">
        <v>422</v>
      </c>
      <c r="D9" s="19" t="n">
        <v>1</v>
      </c>
      <c r="E9" s="22"/>
    </row>
    <row r="10" customFormat="false" ht="15" hidden="false" customHeight="true" outlineLevel="0" collapsed="false">
      <c r="A10" s="19" t="n">
        <v>6</v>
      </c>
      <c r="B10" s="22" t="s">
        <v>189</v>
      </c>
      <c r="C10" s="22" t="s">
        <v>423</v>
      </c>
      <c r="D10" s="19" t="n">
        <v>1</v>
      </c>
      <c r="E10" s="22"/>
    </row>
    <row r="11" customFormat="false" ht="15" hidden="false" customHeight="true" outlineLevel="0" collapsed="false">
      <c r="A11" s="19" t="n">
        <v>7</v>
      </c>
      <c r="B11" s="22" t="s">
        <v>189</v>
      </c>
      <c r="C11" s="22" t="s">
        <v>424</v>
      </c>
      <c r="D11" s="19" t="n">
        <v>1</v>
      </c>
      <c r="E11" s="22"/>
    </row>
    <row r="12" customFormat="false" ht="15" hidden="false" customHeight="true" outlineLevel="0" collapsed="false">
      <c r="A12" s="19" t="n">
        <v>8</v>
      </c>
      <c r="B12" s="22" t="s">
        <v>189</v>
      </c>
      <c r="C12" s="22" t="s">
        <v>425</v>
      </c>
      <c r="D12" s="19" t="n">
        <v>1</v>
      </c>
      <c r="E12" s="22"/>
    </row>
    <row r="13" customFormat="false" ht="15" hidden="false" customHeight="true" outlineLevel="0" collapsed="false">
      <c r="A13" s="19" t="n">
        <v>9</v>
      </c>
      <c r="B13" s="22" t="s">
        <v>189</v>
      </c>
      <c r="C13" s="22" t="s">
        <v>426</v>
      </c>
      <c r="D13" s="19" t="n">
        <v>1</v>
      </c>
      <c r="E13" s="22"/>
    </row>
    <row r="14" customFormat="false" ht="23.25" hidden="false" customHeight="true" outlineLevel="0" collapsed="false">
      <c r="A14" s="19" t="n">
        <v>10</v>
      </c>
      <c r="B14" s="22" t="s">
        <v>427</v>
      </c>
      <c r="C14" s="22" t="s">
        <v>428</v>
      </c>
      <c r="D14" s="19"/>
      <c r="E14" s="22"/>
    </row>
  </sheetData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2026-09-28T17:43:14Z</dcterms:created>
  <dc:creator>openpyxl</dc:creator>
  <dc:description/>
  <dc:language>en-US</dc:language>
  <cp:lastModifiedBy/>
  <dcterms:modified xsi:type="dcterms:W3CDTF">2026-10-28T23:54:45Z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